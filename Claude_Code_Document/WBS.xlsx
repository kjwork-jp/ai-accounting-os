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チェック_V8" sheetId="1" r:id="rId4"/>
    <sheet state="visible" name="必須要件トレーサビリティ" sheetId="2" r:id="rId5"/>
    <sheet state="visible" name="必須逸脱一覧_承認用" sheetId="3" r:id="rId6"/>
    <sheet state="visible" name="WBS_V8" sheetId="4" r:id="rId7"/>
    <sheet state="visible" name="Sprint計画_V8" sheetId="5" r:id="rId8"/>
    <sheet state="visible" name="要件9章_MVP方針" sheetId="6" r:id="rId9"/>
    <sheet state="visible" name="Jira導入ガイド" sheetId="7" r:id="rId10"/>
    <sheet state="visible" name="技術スタック" sheetId="8" r:id="rId11"/>
  </sheets>
  <definedNames/>
  <calcPr/>
  <extLst>
    <ext uri="GoogleSheetsCustomDataVersion2">
      <go:sheetsCustomData xmlns:go="http://customooxmlschemas.google.com/" r:id="rId12" roundtripDataChecksum="/U9V2XevoEVl3Wim1WxOXeypamNkqhESJelpzkEfGRE="/>
    </ext>
  </extLst>
</workbook>
</file>

<file path=xl/sharedStrings.xml><?xml version="1.0" encoding="utf-8"?>
<sst xmlns="http://schemas.openxmlformats.org/spreadsheetml/2006/main" count="1642" uniqueCount="1099">
  <si>
    <t>チェック項目</t>
  </si>
  <si>
    <t>参照</t>
  </si>
  <si>
    <t>結果</t>
  </si>
  <si>
    <t>メモ</t>
  </si>
  <si>
    <t>必須要件トレースの合計チェックがOK</t>
  </si>
  <si>
    <t>必須要件トレーサビリティ!C118</t>
  </si>
  <si>
    <t>WBS 工数：Sprint実作業=各Sprint小計の合計</t>
  </si>
  <si>
    <t>WBS_V8!F136</t>
  </si>
  <si>
    <t>WBS 工数：計画合計=実作業+バッファ</t>
  </si>
  <si>
    <t>WBS_V8!F138</t>
  </si>
  <si>
    <t>WBS 工数：240h枠以内</t>
  </si>
  <si>
    <t>計画合計 203h (残余 37h)</t>
  </si>
  <si>
    <t>逸脱#：WBSトレースにある逸脱#が逸脱一覧に存在</t>
  </si>
  <si>
    <t>目視</t>
  </si>
  <si>
    <t>OK（Pythonで突合済）</t>
  </si>
  <si>
    <t>自動化が必要なら次版で式対応</t>
  </si>
  <si>
    <t>AWS/Textract/Upstash表記が残っていない</t>
  </si>
  <si>
    <t>全シート検索</t>
  </si>
  <si>
    <t>OK（V8でAWS/Textract/Upstashなし）</t>
  </si>
  <si>
    <t>OCRはAzure AI Document Intelligenceに統一</t>
  </si>
  <si>
    <t>非同期構成(BullMQ+Worker)が方針/WBS/技術スタックで整合</t>
  </si>
  <si>
    <t>要件9章_MVP方針, 技術スタック, WBS</t>
  </si>
  <si>
    <t>OK</t>
  </si>
  <si>
    <t>APIはenqueueのみ、WorkerでOCR実行</t>
  </si>
  <si>
    <t>DI制限(15TPS/ポーリング&gt;=2s/retry-after)が方針/WBSに明記</t>
  </si>
  <si>
    <t>要件9章_MVP方針!D2, WBS_V8!E43</t>
  </si>
  <si>
    <t>一次情報: https://learn.microsoft.com/en-us/azure/ai-services/document-intelligence/service-limits?view=doc-intel-4.0.0</t>
  </si>
  <si>
    <t>APIがREST(OpenAPI)として要件(REST/GraphQL)に整合</t>
  </si>
  <si>
    <t>技術スタック!B5, 要件9章_MVP方針!B8</t>
  </si>
  <si>
    <t>GraphQLはPhase2</t>
  </si>
  <si>
    <t>ACA ingress 240秒制限を回避する構成(WorkerをJobs)</t>
  </si>
  <si>
    <t>技術スタック!B7</t>
  </si>
  <si>
    <t>一次情報: https://learn.microsoft.com/en-us/azure/container-apps/ingress-overview</t>
  </si>
  <si>
    <t>Upstash依存が残っていない(接続数問題回避)</t>
  </si>
  <si>
    <t>RedisはAzure Cache for Redisに統一</t>
  </si>
  <si>
    <t>要件ID</t>
  </si>
  <si>
    <t>要件名</t>
  </si>
  <si>
    <t>MVP対応</t>
  </si>
  <si>
    <t>対応詳細</t>
  </si>
  <si>
    <t>WBS ID</t>
  </si>
  <si>
    <t>逸脱#</t>
  </si>
  <si>
    <t>備考</t>
  </si>
  <si>
    <t>—</t>
  </si>
  <si>
    <t>【共通機能 CMN】</t>
  </si>
  <si>
    <t>CMN-001</t>
  </si>
  <si>
    <t>テナント分離(RLS)</t>
  </si>
  <si>
    <t>✅ MVP実装</t>
  </si>
  <si>
    <t>Supabase RLS</t>
  </si>
  <si>
    <t>2.1.5</t>
  </si>
  <si>
    <t>CMN-002</t>
  </si>
  <si>
    <t>ユーザー管理(CRUD/無効化)</t>
  </si>
  <si>
    <t>管理者画面でCRUD＋無効化</t>
  </si>
  <si>
    <t>2.1.6</t>
  </si>
  <si>
    <t>CMN-003</t>
  </si>
  <si>
    <t>ロール管理(5種標準)</t>
  </si>
  <si>
    <t>✅ 簡易実装＋逸脱承認</t>
  </si>
  <si>
    <t>3ロール(管理者/経理/閲覧)。営業/承認者はPhase2</t>
  </si>
  <si>
    <t>2.1.4</t>
  </si>
  <si>
    <t>D-4</t>
  </si>
  <si>
    <t>CMN-004</t>
  </si>
  <si>
    <t>認証(OIDC/SSO/MFA)</t>
  </si>
  <si>
    <t>MFA(TOTP)＋Google OAuth。SAML SSOはPhase2</t>
  </si>
  <si>
    <t>2.1.1-2.1.3</t>
  </si>
  <si>
    <t>D-3</t>
  </si>
  <si>
    <t>CMN-005</t>
  </si>
  <si>
    <t>操作監査ログ</t>
  </si>
  <si>
    <t>DBトリガー＋APIミドルウェア</t>
  </si>
  <si>
    <t>2.3.3</t>
  </si>
  <si>
    <t>CMN-006</t>
  </si>
  <si>
    <t>AI判断ログ</t>
  </si>
  <si>
    <t>ai_suggestionsテーブル</t>
  </si>
  <si>
    <t>CMN-007</t>
  </si>
  <si>
    <t>監査ログ検索(4キー)</t>
  </si>
  <si>
    <t>期間/操作者/種別/対象の検索画面</t>
  </si>
  <si>
    <t>5.2.7</t>
  </si>
  <si>
    <t>CMN-008</t>
  </si>
  <si>
    <t>原本保管(S3互換)</t>
  </si>
  <si>
    <t>Supabase Storage</t>
  </si>
  <si>
    <t>2.3.2</t>
  </si>
  <si>
    <t>CMN-009</t>
  </si>
  <si>
    <t>改ざん検知(SHA-256)</t>
  </si>
  <si>
    <t>アップロード時ハッシュ計算</t>
  </si>
  <si>
    <t>CMN-010</t>
  </si>
  <si>
    <t>証憑検索(6キー)</t>
  </si>
  <si>
    <t>日付/金額/取引先/登録番号/税率/文書種別</t>
  </si>
  <si>
    <t>3.6.1-3.6.2</t>
  </si>
  <si>
    <t>CMN-011</t>
  </si>
  <si>
    <t>AI候補Top3提示</t>
  </si>
  <si>
    <t>仕訳候補生成エンジン</t>
  </si>
  <si>
    <t>3.2.1</t>
  </si>
  <si>
    <t>CMN-012</t>
  </si>
  <si>
    <t>自動確定閾値</t>
  </si>
  <si>
    <t>3段階分類(0.9/0.7閾値)</t>
  </si>
  <si>
    <t>3.2.3</t>
  </si>
  <si>
    <t>CMN-013</t>
  </si>
  <si>
    <t>自己学習(テナント単位)</t>
  </si>
  <si>
    <t>修正履歴蓄積＋過去確定ルール優先。ML再訓練はPhase2</t>
  </si>
  <si>
    <t>D-5</t>
  </si>
  <si>
    <t>【会計処理 ACC】</t>
  </si>
  <si>
    <t>ACC-001</t>
  </si>
  <si>
    <t>証憑取込(Web+メール)</t>
  </si>
  <si>
    <t>Webアップロード(D&amp;D/一括/モバイル)。メール転送はPhase2</t>
  </si>
  <si>
    <t>3.1.1</t>
  </si>
  <si>
    <t>D-1</t>
  </si>
  <si>
    <t>ACC-002</t>
  </si>
  <si>
    <t>銀行明細CSV取込</t>
  </si>
  <si>
    <t>汎用CSVパーサー＋列マッピング</t>
  </si>
  <si>
    <t>3.4.1</t>
  </si>
  <si>
    <t>ACC-003</t>
  </si>
  <si>
    <t>クレカ明細CSV取込</t>
  </si>
  <si>
    <t>銀行CSV基盤拡張</t>
  </si>
  <si>
    <t>3.4.3</t>
  </si>
  <si>
    <t>ACC-004</t>
  </si>
  <si>
    <t>既存会計CSV取込</t>
  </si>
  <si>
    <t>手動列マッピング＋3形式テンプレ。AI列推定はPhase2</t>
  </si>
  <si>
    <t>3.7.1-3.7.3</t>
  </si>
  <si>
    <t>D-2</t>
  </si>
  <si>
    <t>ACC-005</t>
  </si>
  <si>
    <t>手動補正</t>
  </si>
  <si>
    <t>仕訳確認・修正UI</t>
  </si>
  <si>
    <t>3.2.4</t>
  </si>
  <si>
    <t>ACC-006</t>
  </si>
  <si>
    <t>帳簿データ自動生成</t>
  </si>
  <si>
    <t>OCR→構造化→帳簿要件項目</t>
  </si>
  <si>
    <t>3.1.2-3.1.3</t>
  </si>
  <si>
    <t>ACC-007</t>
  </si>
  <si>
    <t>証憑電子保存</t>
  </si>
  <si>
    <t>CMN-008/009連動</t>
  </si>
  <si>
    <t>ACC-008</t>
  </si>
  <si>
    <t>仕訳候補生成</t>
  </si>
  <si>
    <t>Claude API Top3＋信頼度＋理由</t>
  </si>
  <si>
    <t>ACC-009</t>
  </si>
  <si>
    <t>証憑仕訳紐付</t>
  </si>
  <si>
    <t>DB外部キー＋UI表示</t>
  </si>
  <si>
    <t>3.2.5</t>
  </si>
  <si>
    <t>ACC-010</t>
  </si>
  <si>
    <t>仕訳確定フロー</t>
  </si>
  <si>
    <t>下書き→確定2段階</t>
  </si>
  <si>
    <t>ACC-011</t>
  </si>
  <si>
    <t>仕訳データ出力</t>
  </si>
  <si>
    <t>一覧＋CSVエクスポート</t>
  </si>
  <si>
    <t>3.3.1/3.3.4</t>
  </si>
  <si>
    <t>ACC-012</t>
  </si>
  <si>
    <t>月次試算表</t>
  </si>
  <si>
    <t>SQL集計＋前月差</t>
  </si>
  <si>
    <t>3.3.2</t>
  </si>
  <si>
    <t>ACC-013</t>
  </si>
  <si>
    <t>消費税集計</t>
  </si>
  <si>
    <t>税率別集計(10%/8%/非課税)</t>
  </si>
  <si>
    <t>3.3.3</t>
  </si>
  <si>
    <t>ACC-014</t>
  </si>
  <si>
    <t>税理士提出データ</t>
  </si>
  <si>
    <t>CSVエクスポート＋試算表で代替。専用フォーマットはPhase2</t>
  </si>
  <si>
    <t>3.3.4</t>
  </si>
  <si>
    <t>D-6</t>
  </si>
  <si>
    <t>ACC-015</t>
  </si>
  <si>
    <t>文書自動分類</t>
  </si>
  <si>
    <t>Claude API分類</t>
  </si>
  <si>
    <t>3.1.4</t>
  </si>
  <si>
    <t>ACC-016</t>
  </si>
  <si>
    <t>勘定科目推定</t>
  </si>
  <si>
    <t>Claude API</t>
  </si>
  <si>
    <t>ACC-017</t>
  </si>
  <si>
    <t>取引先名寄せ</t>
  </si>
  <si>
    <t>完全一致＋前方一致＋カナ変換</t>
  </si>
  <si>
    <t>3.5.2</t>
  </si>
  <si>
    <t>ACC-018</t>
  </si>
  <si>
    <t>摘要自動生成</t>
  </si>
  <si>
    <t>仕訳候補生成に含む</t>
  </si>
  <si>
    <t>ACC-019</t>
  </si>
  <si>
    <t>修正学習</t>
  </si>
  <si>
    <t>CMN-013と同じ。修正履歴＋ルール反映</t>
  </si>
  <si>
    <t>3.2.1/3.2.4</t>
  </si>
  <si>
    <t>ACC-020</t>
  </si>
  <si>
    <t>重複証憑検知</t>
  </si>
  <si>
    <t>ハッシュ＋日付＋金額</t>
  </si>
  <si>
    <t>3.1.5</t>
  </si>
  <si>
    <t>ACC-021</t>
  </si>
  <si>
    <t>金額差異検知</t>
  </si>
  <si>
    <t>逸脱承認（Phase2）</t>
  </si>
  <si>
    <t>消込高度化が前提。基本消込上に構築</t>
  </si>
  <si>
    <t>D-7</t>
  </si>
  <si>
    <t>ACC-022</t>
  </si>
  <si>
    <t>税率不明処理</t>
  </si>
  <si>
    <t>ユーザー選択UI</t>
  </si>
  <si>
    <t>ACC-023</t>
  </si>
  <si>
    <t>取引先不明処理</t>
  </si>
  <si>
    <t>新規登録＋仮登録フロー</t>
  </si>
  <si>
    <t>3.5.1</t>
  </si>
  <si>
    <t>【受注処理 SO】</t>
  </si>
  <si>
    <t>SO-001</t>
  </si>
  <si>
    <t>受注登録</t>
  </si>
  <si>
    <t>手入力CRUD</t>
  </si>
  <si>
    <t>4.1.1</t>
  </si>
  <si>
    <t>SO-003</t>
  </si>
  <si>
    <t>入金データ取込</t>
  </si>
  <si>
    <t>銀行CSV共通基盤</t>
  </si>
  <si>
    <t>SO-004</t>
  </si>
  <si>
    <t>受注作成</t>
  </si>
  <si>
    <t>基本CRUD</t>
  </si>
  <si>
    <t>SO-005</t>
  </si>
  <si>
    <t>適格請求書発行</t>
  </si>
  <si>
    <t>インボイス準拠PDF生成</t>
  </si>
  <si>
    <t>4.1.2</t>
  </si>
  <si>
    <t>SO-006</t>
  </si>
  <si>
    <t>請求書写し保存</t>
  </si>
  <si>
    <t>SO-005に含む</t>
  </si>
  <si>
    <t>4.1.3</t>
  </si>
  <si>
    <t>SO-007</t>
  </si>
  <si>
    <t>売上計上自動化</t>
  </si>
  <si>
    <t>会計連動</t>
  </si>
  <si>
    <t>4.1.4</t>
  </si>
  <si>
    <t>SO-008</t>
  </si>
  <si>
    <t>入金消込</t>
  </si>
  <si>
    <t>金額一致＋近似額マッチング</t>
  </si>
  <si>
    <t>4.1.5</t>
  </si>
  <si>
    <t>SO-009</t>
  </si>
  <si>
    <t>請求書自動補完</t>
  </si>
  <si>
    <t>過去取引パターン分析が前提。MVPではデータ不足</t>
  </si>
  <si>
    <t>D-8</t>
  </si>
  <si>
    <t>SO-010</t>
  </si>
  <si>
    <t>支払条件推定</t>
  </si>
  <si>
    <t>SO-009と同じ</t>
  </si>
  <si>
    <t>SO-011</t>
  </si>
  <si>
    <t>入金消込AI</t>
  </si>
  <si>
    <t>ルールベースマッチング</t>
  </si>
  <si>
    <t>SO-012</t>
  </si>
  <si>
    <t>部分入金</t>
  </si>
  <si>
    <t>基本消込の例外処理。手動仕訳で代替</t>
  </si>
  <si>
    <t>D-9</t>
  </si>
  <si>
    <t>SO-013</t>
  </si>
  <si>
    <t>過入金/不足処理</t>
  </si>
  <si>
    <t>SO-012と同じ</t>
  </si>
  <si>
    <t>SO-014</t>
  </si>
  <si>
    <t>銀行表示名寄せ</t>
  </si>
  <si>
    <t>基本辞書＋カナ変換</t>
  </si>
  <si>
    <t>【発注処理 PO】</t>
  </si>
  <si>
    <t>PO-002</t>
  </si>
  <si>
    <t>受領請求書取込</t>
  </si>
  <si>
    <t>ACC-001共通</t>
  </si>
  <si>
    <t>4.2.1</t>
  </si>
  <si>
    <t>PO-003</t>
  </si>
  <si>
    <t>支払データ取込</t>
  </si>
  <si>
    <t>銀行CSV共通</t>
  </si>
  <si>
    <t>PO-005</t>
  </si>
  <si>
    <t>請求書受領保存</t>
  </si>
  <si>
    <t>インボイス必須項目チェック</t>
  </si>
  <si>
    <t>PO-006</t>
  </si>
  <si>
    <t>買掛/未払計上</t>
  </si>
  <si>
    <t>4.2.2</t>
  </si>
  <si>
    <t>PO-007</t>
  </si>
  <si>
    <t>支払予定表</t>
  </si>
  <si>
    <t>期日順一覧</t>
  </si>
  <si>
    <t>4.2.3</t>
  </si>
  <si>
    <t>PO-008</t>
  </si>
  <si>
    <t>支払消込</t>
  </si>
  <si>
    <t>銀行明細突合</t>
  </si>
  <si>
    <t>4.2.4</t>
  </si>
  <si>
    <t>PO-009</t>
  </si>
  <si>
    <t>発注自動復元</t>
  </si>
  <si>
    <t>AI推定＋UIで重い。受領請求書ベースで直接処理</t>
  </si>
  <si>
    <t>D-10</t>
  </si>
  <si>
    <t>PO-010</t>
  </si>
  <si>
    <t>異常検知</t>
  </si>
  <si>
    <t>ルールベース(二重計上/重複)</t>
  </si>
  <si>
    <t>4.2.5</t>
  </si>
  <si>
    <t>PO-011</t>
  </si>
  <si>
    <t>仕訳テンプレ学習</t>
  </si>
  <si>
    <t>CMN-013と同じ扱い</t>
  </si>
  <si>
    <t>PO-013</t>
  </si>
  <si>
    <t>金額不一致アラート</t>
  </si>
  <si>
    <t>単純比較</t>
  </si>
  <si>
    <t>【決裁 APR】</t>
  </si>
  <si>
    <t>APR-001</t>
  </si>
  <si>
    <t>支払申請</t>
  </si>
  <si>
    <t>統一申請フォーム</t>
  </si>
  <si>
    <t>5.1.1</t>
  </si>
  <si>
    <t>APR-002</t>
  </si>
  <si>
    <t>経費申請</t>
  </si>
  <si>
    <t>同上</t>
  </si>
  <si>
    <t>APR-003</t>
  </si>
  <si>
    <t>立替精算</t>
  </si>
  <si>
    <t>APR-005</t>
  </si>
  <si>
    <t>申請入力項目</t>
  </si>
  <si>
    <t>共通フォーム</t>
  </si>
  <si>
    <t>APR-006</t>
  </si>
  <si>
    <t>自動ルーティング</t>
  </si>
  <si>
    <t>金額閾値ベース</t>
  </si>
  <si>
    <t>5.1.2</t>
  </si>
  <si>
    <t>APR-007</t>
  </si>
  <si>
    <t>承認アクション</t>
  </si>
  <si>
    <t>承認/差戻し/却下</t>
  </si>
  <si>
    <t>5.1.3</t>
  </si>
  <si>
    <t>APR-008</t>
  </si>
  <si>
    <t>コメント機能</t>
  </si>
  <si>
    <t>テキスト入力</t>
  </si>
  <si>
    <t>APR-010</t>
  </si>
  <si>
    <t>金額異常検知</t>
  </si>
  <si>
    <t>ルールベース</t>
  </si>
  <si>
    <t>5.1.4</t>
  </si>
  <si>
    <t>APR-011</t>
  </si>
  <si>
    <t>頻度異常検知</t>
  </si>
  <si>
    <t>統計基盤必要。金額異常＋初回取引でカバー</t>
  </si>
  <si>
    <t>D-11</t>
  </si>
  <si>
    <t>APR-012</t>
  </si>
  <si>
    <t>初回取引検知</t>
  </si>
  <si>
    <t>マスタ照合</t>
  </si>
  <si>
    <t>APR-013</t>
  </si>
  <si>
    <t>形式チェック</t>
  </si>
  <si>
    <t>証憑/登録番号チェック</t>
  </si>
  <si>
    <t>APR-014</t>
  </si>
  <si>
    <t>リスクスコア</t>
  </si>
  <si>
    <t>ルールベース＋理由表示</t>
  </si>
  <si>
    <t>5.1.5</t>
  </si>
  <si>
    <t>APR-015</t>
  </si>
  <si>
    <t>承認履歴保全</t>
  </si>
  <si>
    <t>監査ログ連動</t>
  </si>
  <si>
    <t>APR-016</t>
  </si>
  <si>
    <t>権限管理</t>
  </si>
  <si>
    <t>CMN-003連動</t>
  </si>
  <si>
    <t>【経営分析 RPT】</t>
  </si>
  <si>
    <t>RPT-001</t>
  </si>
  <si>
    <t>会計仕訳データ参照</t>
  </si>
  <si>
    <t>分析データソース</t>
  </si>
  <si>
    <t>5.2.1</t>
  </si>
  <si>
    <t>RPT-002</t>
  </si>
  <si>
    <t>受注/請求/入金参照</t>
  </si>
  <si>
    <t>RPT-003</t>
  </si>
  <si>
    <t>発注/請求/支払参照</t>
  </si>
  <si>
    <t>RPT-004</t>
  </si>
  <si>
    <t>銀行/クレカ明細参照</t>
  </si>
  <si>
    <t>資金繰り分析と統合してPhase2</t>
  </si>
  <si>
    <t>D-12</t>
  </si>
  <si>
    <t>RPT-005</t>
  </si>
  <si>
    <t>月次PL</t>
  </si>
  <si>
    <t>前年差/前月差付き</t>
  </si>
  <si>
    <t>5.2.2</t>
  </si>
  <si>
    <t>RPT-006</t>
  </si>
  <si>
    <t>科目別推移グラフ</t>
  </si>
  <si>
    <t>Recharts</t>
  </si>
  <si>
    <t>5.2.3</t>
  </si>
  <si>
    <t>RPT-007</t>
  </si>
  <si>
    <t>取引先別分析</t>
  </si>
  <si>
    <t>上位N件テーブル</t>
  </si>
  <si>
    <t>5.2.4</t>
  </si>
  <si>
    <t>RPT-008</t>
  </si>
  <si>
    <t>未収未払一覧</t>
  </si>
  <si>
    <t>期日別一覧</t>
  </si>
  <si>
    <t>RPT-009</t>
  </si>
  <si>
    <t>資金繰り予測</t>
  </si>
  <si>
    <t>予測モデル必要。未収未払一覧で代替</t>
  </si>
  <si>
    <t>RPT-010</t>
  </si>
  <si>
    <t>期間分析</t>
  </si>
  <si>
    <t>月次のみ</t>
  </si>
  <si>
    <t>RPT-012</t>
  </si>
  <si>
    <t>取引先分析</t>
  </si>
  <si>
    <t>RPT-007統合</t>
  </si>
  <si>
    <t>RPT-013</t>
  </si>
  <si>
    <t>科目分析</t>
  </si>
  <si>
    <t>ドリルダウン</t>
  </si>
  <si>
    <t>RPT-015</t>
  </si>
  <si>
    <t>変動要因自動要約</t>
  </si>
  <si>
    <t>Claude API自然言語サマリー</t>
  </si>
  <si>
    <t>5.2.5</t>
  </si>
  <si>
    <t>RPT-016</t>
  </si>
  <si>
    <t>異常アラート</t>
  </si>
  <si>
    <t>閾値ベース</t>
  </si>
  <si>
    <t>5.2.6</t>
  </si>
  <si>
    <t>RPT-017</t>
  </si>
  <si>
    <t>改善提案</t>
  </si>
  <si>
    <t>分析AI必要。変動要因サマリーで代替</t>
  </si>
  <si>
    <t>D-13</t>
  </si>
  <si>
    <t>RPT-018</t>
  </si>
  <si>
    <t>簡易予測</t>
  </si>
  <si>
    <t>予測モデル必要</t>
  </si>
  <si>
    <t>RPT-019</t>
  </si>
  <si>
    <t>リアルタイム集計</t>
  </si>
  <si>
    <t>確定仕訳反映</t>
  </si>
  <si>
    <t>RPT-020</t>
  </si>
  <si>
    <t>過去比較</t>
  </si>
  <si>
    <t>前年同月比較</t>
  </si>
  <si>
    <t>【付随機能 EXT】</t>
  </si>
  <si>
    <t>EXT-001</t>
  </si>
  <si>
    <t>税理士閲覧権限</t>
  </si>
  <si>
    <t>読取専用ロール</t>
  </si>
  <si>
    <t>EXT-003</t>
  </si>
  <si>
    <t>監査ログ閲覧(税理士)</t>
  </si>
  <si>
    <t>閲覧ロール権限</t>
  </si>
  <si>
    <t>EXT-004</t>
  </si>
  <si>
    <t>CSV取込ウィザード</t>
  </si>
  <si>
    <t>手動マッピング(ACC-004)で代替。ウィザードUIはPhase2</t>
  </si>
  <si>
    <t>D-14</t>
  </si>
  <si>
    <t>EXT-005</t>
  </si>
  <si>
    <t>科目マッピング</t>
  </si>
  <si>
    <t>手動マッピングで代替。AIマッピングはPhase2</t>
  </si>
  <si>
    <t>3.7.2</t>
  </si>
  <si>
    <t>EXT-006</t>
  </si>
  <si>
    <t>名寄せ統合</t>
  </si>
  <si>
    <t>手動統合＋候補提示</t>
  </si>
  <si>
    <t>3.5.2-3.5.3</t>
  </si>
  <si>
    <t>EXT-007</t>
  </si>
  <si>
    <t>重複検知</t>
  </si>
  <si>
    <t>完全一致＋部分一致</t>
  </si>
  <si>
    <t>3.5.3</t>
  </si>
  <si>
    <t>【セキュリティ SEC】</t>
  </si>
  <si>
    <t>SEC-001</t>
  </si>
  <si>
    <t>RBAC＋テナント分離</t>
  </si>
  <si>
    <t>RLS＋3ロール</t>
  </si>
  <si>
    <t>2.1.4-2.1.5</t>
  </si>
  <si>
    <t>SEC-002</t>
  </si>
  <si>
    <t>通信暗号化(TLS)</t>
  </si>
  <si>
    <t>Vercel/Supabase/Azure(DI/ACA/Redis) 標準TLS</t>
  </si>
  <si>
    <t>2.4.1</t>
  </si>
  <si>
    <t>マネージド充足</t>
  </si>
  <si>
    <t>SEC-003</t>
  </si>
  <si>
    <t>保管時暗号化</t>
  </si>
  <si>
    <t>Supabase Storage暗号化</t>
  </si>
  <si>
    <t>SEC-004</t>
  </si>
  <si>
    <t>バックアップ</t>
  </si>
  <si>
    <t>Supabase自動BK＋手順書</t>
  </si>
  <si>
    <t>2.4.2</t>
  </si>
  <si>
    <t>SEC-005</t>
  </si>
  <si>
    <t>監視</t>
  </si>
  <si>
    <t>Vercel/Supabase/Azure(DI/ACA/Redis) ダッシュボード＋設計書</t>
  </si>
  <si>
    <t>2.4.3</t>
  </si>
  <si>
    <t>【集計】</t>
  </si>
  <si>
    <t>必須要件 総数</t>
  </si>
  <si>
    <t>102件</t>
  </si>
  <si>
    <t>✅ MVP完全実装</t>
  </si>
  <si>
    <t>81件</t>
  </si>
  <si>
    <t>10件</t>
  </si>
  <si>
    <t>逸脱一覧D-1～D-14に記載</t>
  </si>
  <si>
    <t>逸脱承認（Phase2送り）</t>
  </si>
  <si>
    <t>11件</t>
  </si>
  <si>
    <t>逸脱一覧D-7～D-13に記載</t>
  </si>
  <si>
    <t>合計チェック</t>
  </si>
  <si>
    <t>102件 = 102件 ✓</t>
  </si>
  <si>
    <t>D-#</t>
  </si>
  <si>
    <t>要件定義の記載</t>
  </si>
  <si>
    <t>MVP方針</t>
  </si>
  <si>
    <t>逸脱理由</t>
  </si>
  <si>
    <t>リスク</t>
  </si>
  <si>
    <t>代替手段(MVP)</t>
  </si>
  <si>
    <t>Phase2計画</t>
  </si>
  <si>
    <t>承認</t>
  </si>
  <si>
    <t>ACC-001
(メール部分)</t>
  </si>
  <si>
    <t>証憑取込
メール転送</t>
  </si>
  <si>
    <t>Webまたはメール転送
優先度：必須</t>
  </si>
  <si>
    <t>Web実装済み
メールはPhase2</t>
  </si>
  <si>
    <t>Inbound Parse基盤(8-12h)。メールパーサー＋SPF/DKIM必要</t>
  </si>
  <si>
    <t>中</t>
  </si>
  <si>
    <t>Web D&amp;D＋一括＋モバイル対応で業務遂行可</t>
  </si>
  <si>
    <t>Phase2 Sprint1
10h</t>
  </si>
  <si>
    <t>ACC-004
(AI列推定)</t>
  </si>
  <si>
    <t>既存会計CSV
AI列推定</t>
  </si>
  <si>
    <t>列推定機能付きCSV取込
優先度：必須</t>
  </si>
  <si>
    <t>手動マッピング実装済み
AI列推定はPhase2</t>
  </si>
  <si>
    <t>AI列推定8h+。手動マッピング＋3形式テンプレで業務成立</t>
  </si>
  <si>
    <t>低</t>
  </si>
  <si>
    <t>手動列マッピングUI＋弥生/freee/MFテンプレ</t>
  </si>
  <si>
    <t>Phase2
6h</t>
  </si>
  <si>
    <t>CMN-004
(SSO部分)</t>
  </si>
  <si>
    <t>認証
SAML SSO</t>
  </si>
  <si>
    <t>OIDC/SSO/MFA対応
優先度：必須</t>
  </si>
  <si>
    <t>MFA＋OAuth実装済み
SSO Phase2</t>
  </si>
  <si>
    <t>SAML SSO=外部IdP連携6h+。MFA＋OAuthで大部分充足</t>
  </si>
  <si>
    <t>TOTP MFA＋Google OAuth</t>
  </si>
  <si>
    <t>Phase2
8h</t>
  </si>
  <si>
    <t>CMN-003
(5→3ロール)</t>
  </si>
  <si>
    <t>ロール管理
5→3ロール</t>
  </si>
  <si>
    <t>5種標準ロール
優先度：必須</t>
  </si>
  <si>
    <t>3ロール実装
営業/承認者Phase2</t>
  </si>
  <si>
    <t>営業/承認者追加=権限テーブル拡張4h+。3ロールで最低限カバー</t>
  </si>
  <si>
    <t>経理ロールで承認者兼用</t>
  </si>
  <si>
    <t>Phase2
4h</t>
  </si>
  <si>
    <t>CMN-013
ACC-019
PO-011</t>
  </si>
  <si>
    <t>自己学習/修正学習
/テンプレ学習</t>
  </si>
  <si>
    <t>テナント単位学習
優先度：必須</t>
  </si>
  <si>
    <t>ルールベース簡易版実装
ML再訓練Phase2</t>
  </si>
  <si>
    <t>ML学習パイプライン15h+。過去確定ルール優先で要件趣旨の大部分充足</t>
  </si>
  <si>
    <t>修正履歴DB蓄積＋過去確定結果優先ロジック</t>
  </si>
  <si>
    <t>Phase2
15h</t>
  </si>
  <si>
    <t>税理士向けエクスポート
優先度：必須</t>
  </si>
  <si>
    <t>CSVエクスポートで代替
専用形式Phase2</t>
  </si>
  <si>
    <t>税理士専用フォーマットは事務所依存。汎用CSV＋試算表で実務対応可</t>
  </si>
  <si>
    <t>仕訳CSV＋試算表CSV＋証憑ZIP</t>
  </si>
  <si>
    <t>証憑vs明細の差異検知
優先度：必須</t>
  </si>
  <si>
    <t>Phase2送り</t>
  </si>
  <si>
    <t>消込処理高度化が前提。基本消込(MVP)の上に構築</t>
  </si>
  <si>
    <t>消込時の手動確認フロー</t>
  </si>
  <si>
    <t>Phase2
3h</t>
  </si>
  <si>
    <t>SO-009
SO-010</t>
  </si>
  <si>
    <t>請求書自動補完
支払条件推定</t>
  </si>
  <si>
    <t>過去取引から自動推定
優先度：必須</t>
  </si>
  <si>
    <t>過去取引パターン分析基盤が前提。MVP段階ではデータ不足</t>
  </si>
  <si>
    <t>手入力＋取引先マスタ備考欄</t>
  </si>
  <si>
    <t>SO-012
SO-013</t>
  </si>
  <si>
    <t>部分入金
過入金/不足処理</t>
  </si>
  <si>
    <t>分割消込・差額処理
優先度：必須</t>
  </si>
  <si>
    <t>基本消込の例外処理。手動仕訳で対応可</t>
  </si>
  <si>
    <t>差額は手動仕訳で計上</t>
  </si>
  <si>
    <t>受領請求書から発注復元
優先度：必須</t>
  </si>
  <si>
    <t>AI推定＋UI=8h+。発注登録は任意のため影響限定</t>
  </si>
  <si>
    <t>受領請求書ベースで直接処理</t>
  </si>
  <si>
    <t>同一先連続申請検知
優先度：必須</t>
  </si>
  <si>
    <t>統計基盤必要。金額異常(MVP)で主要リスクカバー</t>
  </si>
  <si>
    <t>金額異常＋初回取引検知で代替</t>
  </si>
  <si>
    <t>RPT-004
RPT-009</t>
  </si>
  <si>
    <t>銀行/クレカ参照
資金繰り予測</t>
  </si>
  <si>
    <t>資金繰り分析
優先度：必須</t>
  </si>
  <si>
    <t>予測モデル＋明細統合=10h+。月次PL/未収未払で当面対応</t>
  </si>
  <si>
    <t>未収未払一覧で支払期日管理</t>
  </si>
  <si>
    <t>Phase2
10h</t>
  </si>
  <si>
    <t>RPT-017
RPT-018</t>
  </si>
  <si>
    <t>改善提案
簡易予測</t>
  </si>
  <si>
    <t>AI提案・予測
優先度：必須</t>
  </si>
  <si>
    <t>分析AI＋予測モデル=10h+。変動要因サマリー(MVP)で方向性提供</t>
  </si>
  <si>
    <t>AI変動要因サマリーで代替</t>
  </si>
  <si>
    <t>EXT-004
EXT-005</t>
  </si>
  <si>
    <t>CSV取込ウィザード
科目マッピング</t>
  </si>
  <si>
    <t>ウィザード形式取込
優先度：必須</t>
  </si>
  <si>
    <t>手動マッピング実装済み
ウィザード/AIはPhase2</t>
  </si>
  <si>
    <t>ウィザード＋AIマッピング=8h+。手動版(ACC-004)で業務成立</t>
  </si>
  <si>
    <t>ACC-004簡易版で代替</t>
  </si>
  <si>
    <t>■ 承認欄</t>
  </si>
  <si>
    <t>承認者</t>
  </si>
  <si>
    <t>役割</t>
  </si>
  <si>
    <t>署名</t>
  </si>
  <si>
    <t>日付</t>
  </si>
  <si>
    <t>プロダクトオーナー</t>
  </si>
  <si>
    <t>開発リード</t>
  </si>
  <si>
    <t>（税理士/顧問）任意</t>
  </si>
  <si>
    <t>WBS</t>
  </si>
  <si>
    <t>大区分</t>
  </si>
  <si>
    <t>中区分</t>
  </si>
  <si>
    <t>小区分</t>
  </si>
  <si>
    <t>タスク</t>
  </si>
  <si>
    <t>工数</t>
  </si>
  <si>
    <t>AI活用</t>
  </si>
  <si>
    <t>成果物</t>
  </si>
  <si>
    <t>Sprint</t>
  </si>
  <si>
    <t>1</t>
  </si>
  <si>
    <t>要件整理・設計</t>
  </si>
  <si>
    <t>1.1</t>
  </si>
  <si>
    <t>MVP要件・設計</t>
  </si>
  <si>
    <t>S0</t>
  </si>
  <si>
    <t>1.1.1</t>
  </si>
  <si>
    <t>要件分析＋トレーサビリティ</t>
  </si>
  <si>
    <t>全必須要件MVP/Phase2振分＋トレーサビリティ作成</t>
  </si>
  <si>
    <t>Claude</t>
  </si>
  <si>
    <t>MVP選定表＋トレーサビリティ</t>
  </si>
  <si>
    <t>1.1.2</t>
  </si>
  <si>
    <t>技術スタック確定</t>
  </si>
  <si>
    <t>Next.js(TypeScript)/Supabase/Azure Document Intelligence/BullMQ(Azure Cache for Redis)/Claude API</t>
  </si>
  <si>
    <t>技術選定書</t>
  </si>
  <si>
    <t>1.1.3</t>
  </si>
  <si>
    <t>画面遷移・API設計</t>
  </si>
  <si>
    <t>主要画面フロー＋API一覧(OpenAPI)</t>
  </si>
  <si>
    <t>Claude Code</t>
  </si>
  <si>
    <t>API設計書</t>
  </si>
  <si>
    <t>1.1.4</t>
  </si>
  <si>
    <t>MVP設計方針書</t>
  </si>
  <si>
    <t>要件9章差分明文化。同期処理＋Phase2移行計画</t>
  </si>
  <si>
    <t>方針書</t>
  </si>
  <si>
    <t>1.1.5</t>
  </si>
  <si>
    <t>モック資産分析</t>
  </si>
  <si>
    <t>UI層再利用、DB/サーバはSupabase新規</t>
  </si>
  <si>
    <t>再利用方針書</t>
  </si>
  <si>
    <t>1.1.6</t>
  </si>
  <si>
    <t>同期処理安全柵仕様</t>
  </si>
  <si>
    <t>非同期ジョブ安全柵: ジョブ状態/リトライ/冪等性/進捗UI。DI制限(POST=15TPS/ポーリング&gt;=2秒/retry-after/429バックオフ)を前提にBullMQ limiterで制御。アップロード上限(暫定): 10MB、超過は分割/圧縮orエラー誘導。Webはenqueueのみ</t>
  </si>
  <si>
    <t>処理制限仕様</t>
  </si>
  <si>
    <t>1.2</t>
  </si>
  <si>
    <t>DB設計</t>
  </si>
  <si>
    <t>1.2.1</t>
  </si>
  <si>
    <t>スキーマ設計</t>
  </si>
  <si>
    <t>PostgreSQL DDL。証憑検索INDEX＋ユーザー管理テーブル</t>
  </si>
  <si>
    <t>DDL/Migration</t>
  </si>
  <si>
    <t>1.2.2</t>
  </si>
  <si>
    <t>RLSポリシー</t>
  </si>
  <si>
    <t>テナント分離RLS定義</t>
  </si>
  <si>
    <t>RLS SQL</t>
  </si>
  <si>
    <t>1.2.3</t>
  </si>
  <si>
    <t>マスタデータ＋Seed</t>
  </si>
  <si>
    <t>勘定科目/税区分/テストデータ</t>
  </si>
  <si>
    <t>Seed</t>
  </si>
  <si>
    <t>1.3</t>
  </si>
  <si>
    <t>インフラ</t>
  </si>
  <si>
    <t>1.3.1</t>
  </si>
  <si>
    <t>Supabase構築</t>
  </si>
  <si>
    <t>プロジェクト＋Auth＋Storage＋MFA有効化</t>
  </si>
  <si>
    <t>手動</t>
  </si>
  <si>
    <t>設定</t>
  </si>
  <si>
    <t>1.3.2</t>
  </si>
  <si>
    <t>Azure DI + Azure Cache for Redis設定</t>
  </si>
  <si>
    <t>Document Intelligence resource/endpoint/key + Azure Cache for Redis作成 + 環境変数/Secrets設定（DI制限: POST=15TPS, Poll&gt;=2s, retry-after対応を前提に設計）</t>
  </si>
  <si>
    <t>1.3.3</t>
  </si>
  <si>
    <t>CI/CD</t>
  </si>
  <si>
    <t>GitHub Actions→Vercel + Worker(Docker→Azure Container Apps) 自動デプロイ</t>
  </si>
  <si>
    <t>【S0 小計】</t>
  </si>
  <si>
    <t>2</t>
  </si>
  <si>
    <t>共通基盤開発</t>
  </si>
  <si>
    <t>2.1</t>
  </si>
  <si>
    <t>認証・ユーザー管理</t>
  </si>
  <si>
    <t>S1</t>
  </si>
  <si>
    <t>2.1.1</t>
  </si>
  <si>
    <t>Supabase Auth(メール認証)</t>
  </si>
  <si>
    <t>ログイン/ログアウト/セッション管理</t>
  </si>
  <si>
    <t>認証モジュール</t>
  </si>
  <si>
    <t>2.1.2</t>
  </si>
  <si>
    <t>TOTP MFA</t>
  </si>
  <si>
    <t>Supabase MFA有効化＋登録/認証UI</t>
  </si>
  <si>
    <t>MFA機能</t>
  </si>
  <si>
    <t>2.1.3</t>
  </si>
  <si>
    <t>Google OAuth</t>
  </si>
  <si>
    <t>OAuth Provider設定＋ボタンUI</t>
  </si>
  <si>
    <t>OAuth</t>
  </si>
  <si>
    <t>ロール管理(3ロール)</t>
  </si>
  <si>
    <t>管理者/経理/閲覧 RBAC</t>
  </si>
  <si>
    <t>ロール管理</t>
  </si>
  <si>
    <t>D-4:5→3</t>
  </si>
  <si>
    <t>RLS適用＋テナントコンテキスト</t>
  </si>
  <si>
    <t>RLS実装</t>
  </si>
  <si>
    <t>ユーザー管理画面</t>
  </si>
  <si>
    <t>作成/編集/無効化/一覧。管理者限定</t>
  </si>
  <si>
    <t>2.2</t>
  </si>
  <si>
    <t>FE基盤</t>
  </si>
  <si>
    <t>2.2.1</t>
  </si>
  <si>
    <t>Next.js＋モックUI移植</t>
  </si>
  <si>
    <t>App Router＋Tailwind＋shadcn＋モックUI移植</t>
  </si>
  <si>
    <t>FEベース</t>
  </si>
  <si>
    <t>2.2.2</t>
  </si>
  <si>
    <t>共通レイアウト</t>
  </si>
  <si>
    <t>サイドバー/ヘッダー/DashboardLayout</t>
  </si>
  <si>
    <t>レイアウト</t>
  </si>
  <si>
    <t>2.2.3</t>
  </si>
  <si>
    <t>共通コンポーネント</t>
  </si>
  <si>
    <t>テーブル/フォーム/モーダル/通知/検索パネル</t>
  </si>
  <si>
    <t>UIコンポ</t>
  </si>
  <si>
    <t>2.3</t>
  </si>
  <si>
    <t>API・データ基盤</t>
  </si>
  <si>
    <t>2.3.1</t>
  </si>
  <si>
    <t>API Route基盤</t>
  </si>
  <si>
    <t>Next.js Routes＋Supabase Client初期化</t>
  </si>
  <si>
    <t>API基盤</t>
  </si>
  <si>
    <t>ファイルアップロード</t>
  </si>
  <si>
    <t>Supabase Storage＋SHA-256＋ファイル上限</t>
  </si>
  <si>
    <t>アップロード</t>
  </si>
  <si>
    <t>CMN-008/009</t>
  </si>
  <si>
    <t>監査ログ基盤</t>
  </si>
  <si>
    <t>操作ログ＋AI判断ログ自動記録</t>
  </si>
  <si>
    <t>監査ログ</t>
  </si>
  <si>
    <t>CMN-005/006</t>
  </si>
  <si>
    <t>2.4</t>
  </si>
  <si>
    <t>セキュリティ・運用</t>
  </si>
  <si>
    <t>SEC要件マッピング表</t>
  </si>
  <si>
    <t>SEC-001～005のマネージド充足文書化</t>
  </si>
  <si>
    <t>マッピング表</t>
  </si>
  <si>
    <t>BK・リストア手順書</t>
  </si>
  <si>
    <t>Supabase BK設定確認＋手動リストア手順</t>
  </si>
  <si>
    <t>Claude+手動</t>
  </si>
  <si>
    <t>BK手順書</t>
  </si>
  <si>
    <t>監視設計</t>
  </si>
  <si>
    <t>Vercel/Supabase/Azure( DI/ACA/Redis )監視＋項目一覧＋通知設定</t>
  </si>
  <si>
    <t>監視設計書</t>
  </si>
  <si>
    <t>【S1 小計】</t>
  </si>
  <si>
    <t>3</t>
  </si>
  <si>
    <t>会計処理コア</t>
  </si>
  <si>
    <t>3.1</t>
  </si>
  <si>
    <t>証憑取込・OCR</t>
  </si>
  <si>
    <t>S2</t>
  </si>
  <si>
    <t>証憑アップロードUI</t>
  </si>
  <si>
    <t>D&amp;D＋一括＋モバイル対応</t>
  </si>
  <si>
    <t>アップロード画面</t>
  </si>
  <si>
    <t>3.1.2</t>
  </si>
  <si>
    <t>Azure DI連携＋非同期ワーカー(BullMQ)</t>
  </si>
  <si>
    <t>OCR→ジョブ投入→Worker処理→結果保存＋リトライ。DI制限対応: POST=15TPS、結果ポーリング&gt;=2秒、retry-after尊重、429指数バックオフ、失敗DLQ。ファイル上限10MB超は分割/縮小（MVPは上限超でエラー誘導でも可）</t>
  </si>
  <si>
    <t>OCRモジュール</t>
  </si>
  <si>
    <t>3.1.3</t>
  </si>
  <si>
    <t>抽出データ構造化</t>
  </si>
  <si>
    <t>OCR→帳簿要件マッピング(Claude API併用)</t>
  </si>
  <si>
    <t>構造化ロジック</t>
  </si>
  <si>
    <t>請求書/領収書/その他AI分類</t>
  </si>
  <si>
    <t>分類モジュール</t>
  </si>
  <si>
    <t>ハッシュ＋日付＋金額チェック</t>
  </si>
  <si>
    <t>3.1.6</t>
  </si>
  <si>
    <t>処理失敗リトライUI</t>
  </si>
  <si>
    <t>エラー表示＋再アップロード＋再生成</t>
  </si>
  <si>
    <t>エラー処理</t>
  </si>
  <si>
    <t>安全柵</t>
  </si>
  <si>
    <t>3.2</t>
  </si>
  <si>
    <t>AI仕訳生成</t>
  </si>
  <si>
    <t>Claude API Top3＋信頼度＋理由＋SSE＋過去確定ルール優先</t>
  </si>
  <si>
    <t>仕訳エンジン</t>
  </si>
  <si>
    <t>CMN-013簡易学習含む</t>
  </si>
  <si>
    <t>3.2.2</t>
  </si>
  <si>
    <t>勘定科目マスタUI</t>
  </si>
  <si>
    <t>科目参照＋選択UI</t>
  </si>
  <si>
    <t>科目UI</t>
  </si>
  <si>
    <t>信頼度・閾値処理</t>
  </si>
  <si>
    <t>0.9↑自動/0.7-0.9確認/0.7↓保留</t>
  </si>
  <si>
    <t>閾値ロジック</t>
  </si>
  <si>
    <t>候補選択/修正/確定＋修正履歴蓄積</t>
  </si>
  <si>
    <t>確認画面</t>
  </si>
  <si>
    <t>ACC-005/010/019</t>
  </si>
  <si>
    <t>証憑-仕訳紐付</t>
  </si>
  <si>
    <t>1対1/1対多紐付け＋トレーサビリティ</t>
  </si>
  <si>
    <t>紐付けロジック</t>
  </si>
  <si>
    <t>3.5</t>
  </si>
  <si>
    <t>取引先管理</t>
  </si>
  <si>
    <t>取引先CRUD</t>
  </si>
  <si>
    <t>登録/編集/一覧/登録番号管理</t>
  </si>
  <si>
    <t>取引先画面</t>
  </si>
  <si>
    <t>名寄せ(簡易)</t>
  </si>
  <si>
    <t>名寄せ</t>
  </si>
  <si>
    <t>重複検知・統合</t>
  </si>
  <si>
    <t>候補提示＋手動統合UI</t>
  </si>
  <si>
    <t>重複統合</t>
  </si>
  <si>
    <t>EXT-006/007</t>
  </si>
  <si>
    <t>【S2 小計】</t>
  </si>
  <si>
    <t>3.3</t>
  </si>
  <si>
    <t>帳簿・出力</t>
  </si>
  <si>
    <t>S3</t>
  </si>
  <si>
    <t>3.3.1</t>
  </si>
  <si>
    <t>仕訳一覧・検索</t>
  </si>
  <si>
    <t>一覧＋フィルタ＋ソート＋ページネーション</t>
  </si>
  <si>
    <t>仕訳一覧</t>
  </si>
  <si>
    <t>自動集計＋前月差表示</t>
  </si>
  <si>
    <t>試算表</t>
  </si>
  <si>
    <t>税率別(10%/8%/非課税)集計</t>
  </si>
  <si>
    <t>消費税</t>
  </si>
  <si>
    <t>CSVエクスポート</t>
  </si>
  <si>
    <t>仕訳/試算表CSV＋証憑ZIP</t>
  </si>
  <si>
    <t>エクスポート</t>
  </si>
  <si>
    <t>ACC-014代替含む</t>
  </si>
  <si>
    <t>3.4</t>
  </si>
  <si>
    <t>明細取込・突合</t>
  </si>
  <si>
    <t>銀行CSV取込</t>
  </si>
  <si>
    <t>汎用CSV＋列マッピングUI</t>
  </si>
  <si>
    <t>CSV取込</t>
  </si>
  <si>
    <t>3.4.2</t>
  </si>
  <si>
    <t>明細-仕訳突合</t>
  </si>
  <si>
    <t>自動マッチング</t>
  </si>
  <si>
    <t>突合ロジック</t>
  </si>
  <si>
    <t>クレカCSV取込</t>
  </si>
  <si>
    <t>クレカ取込</t>
  </si>
  <si>
    <t>3.6</t>
  </si>
  <si>
    <t>証憑検索(電帳法)</t>
  </si>
  <si>
    <t>3.6.1</t>
  </si>
  <si>
    <t>証憑検索UI(6キー)</t>
  </si>
  <si>
    <t>検索画面</t>
  </si>
  <si>
    <t>3.6.2</t>
  </si>
  <si>
    <t>検索DB最適化</t>
  </si>
  <si>
    <t>複合INDEX＋pg_trgm</t>
  </si>
  <si>
    <t>INDEX設定</t>
  </si>
  <si>
    <t>3.7</t>
  </si>
  <si>
    <t>既存会計CSV取込(簡易)</t>
  </si>
  <si>
    <t>3.7.1</t>
  </si>
  <si>
    <t>CSV＋プレビュー</t>
  </si>
  <si>
    <t>アップロード→先頭10行プレビュー</t>
  </si>
  <si>
    <t>プレビュー</t>
  </si>
  <si>
    <t>ACC-004簡易</t>
  </si>
  <si>
    <t>手動列マッピング</t>
  </si>
  <si>
    <t>ドロップダウンで列対応付け</t>
  </si>
  <si>
    <t>マッピングUI</t>
  </si>
  <si>
    <t>3.7.3</t>
  </si>
  <si>
    <t>3形式テンプレート</t>
  </si>
  <si>
    <t>弥生/freee/MFプリセット定義</t>
  </si>
  <si>
    <t>テンプレ</t>
  </si>
  <si>
    <t>【S3 小計】</t>
  </si>
  <si>
    <t>4</t>
  </si>
  <si>
    <t>受注・発注処理</t>
  </si>
  <si>
    <t>4.1</t>
  </si>
  <si>
    <t>受注処理</t>
  </si>
  <si>
    <t>S4</t>
  </si>
  <si>
    <t>取引先/明細/税率入力CRUD</t>
  </si>
  <si>
    <t>受注画面</t>
  </si>
  <si>
    <t>SO-001/004</t>
  </si>
  <si>
    <t>適格請求書PDF</t>
  </si>
  <si>
    <t>インボイス全必須項目準拠PDF生成</t>
  </si>
  <si>
    <t>PDF生成</t>
  </si>
  <si>
    <t>請求書発行・保存</t>
  </si>
  <si>
    <t>発行＋写し自動保存＋ステータス管理</t>
  </si>
  <si>
    <t>請求書管理</t>
  </si>
  <si>
    <t>売上仕訳自動生成</t>
  </si>
  <si>
    <t>請求→仕訳自動連動</t>
  </si>
  <si>
    <t>売上計上</t>
  </si>
  <si>
    <t>入金消込(基本)</t>
  </si>
  <si>
    <t>金額一致＋近似額＋名寄せマッチング</t>
  </si>
  <si>
    <t>消込機能</t>
  </si>
  <si>
    <t>SO-008/011/014</t>
  </si>
  <si>
    <t>4.2</t>
  </si>
  <si>
    <t>発注処理</t>
  </si>
  <si>
    <t>受領請求書・チェック</t>
  </si>
  <si>
    <t>インボイス必須項目存在/形式チェック</t>
  </si>
  <si>
    <t>受領画面</t>
  </si>
  <si>
    <t>PO-002/005</t>
  </si>
  <si>
    <t>買掛/未払仕訳</t>
  </si>
  <si>
    <t>受領請求書→仕訳自動連動</t>
  </si>
  <si>
    <t>買掛計上</t>
  </si>
  <si>
    <t>期日順＋重要度一覧</t>
  </si>
  <si>
    <t>支払予定</t>
  </si>
  <si>
    <t>銀行明細→支払突合</t>
  </si>
  <si>
    <t>二重計上/重複請求/金額不一致</t>
  </si>
  <si>
    <t>PO-010/013</t>
  </si>
  <si>
    <t>【S4 小計】</t>
  </si>
  <si>
    <t>5</t>
  </si>
  <si>
    <t>決裁・経営分析</t>
  </si>
  <si>
    <t>5.1</t>
  </si>
  <si>
    <t>決裁WF</t>
  </si>
  <si>
    <t>S5</t>
  </si>
  <si>
    <t>申請フォーム</t>
  </si>
  <si>
    <t>支払/経費/立替の統一申請＋証憑添付</t>
  </si>
  <si>
    <t>申請画面</t>
  </si>
  <si>
    <t>APR-001-003/005</t>
  </si>
  <si>
    <t>承認ルート自動</t>
  </si>
  <si>
    <t>金額閾値ベースルーティング</t>
  </si>
  <si>
    <t>ルーティング</t>
  </si>
  <si>
    <t>承認・差戻し・却下</t>
  </si>
  <si>
    <t>3アクション＋コメント入力</t>
  </si>
  <si>
    <t>承認画面</t>
  </si>
  <si>
    <t>APR-007/008</t>
  </si>
  <si>
    <t>AI事前審査</t>
  </si>
  <si>
    <t>金額異常/初回取引/形式チェック</t>
  </si>
  <si>
    <t>事前審査</t>
  </si>
  <si>
    <t>APR-010/012/013</t>
  </si>
  <si>
    <t>ルールベーススコア＋理由表示</t>
  </si>
  <si>
    <t>5.2</t>
  </si>
  <si>
    <t>経営分析</t>
  </si>
  <si>
    <t>ダッシュボードTOP</t>
  </si>
  <si>
    <t>KPIサマリー/アラート/チャート</t>
  </si>
  <si>
    <t>ダッシュボード</t>
  </si>
  <si>
    <t>前年差/前月差付きPL</t>
  </si>
  <si>
    <t>PL画面</t>
  </si>
  <si>
    <t>科目推移＋科目分析</t>
  </si>
  <si>
    <t>Rechartsチャート＋ドリルダウン</t>
  </si>
  <si>
    <t>推移/分析</t>
  </si>
  <si>
    <t>RPT-006/013</t>
  </si>
  <si>
    <t>取引先別・未収未払</t>
  </si>
  <si>
    <t>上位集計＋期日別一覧</t>
  </si>
  <si>
    <t>分析画面</t>
  </si>
  <si>
    <t>RPT-007/008/012</t>
  </si>
  <si>
    <t>AI変動要因サマリー</t>
  </si>
  <si>
    <t>Claude API自然言語要約</t>
  </si>
  <si>
    <t>AIサマリー</t>
  </si>
  <si>
    <t>異常アラート＋過去比較</t>
  </si>
  <si>
    <t>閾値アラート＋前年同月比較</t>
  </si>
  <si>
    <t>アラート</t>
  </si>
  <si>
    <t>RPT-016/020</t>
  </si>
  <si>
    <t>監査ログ検索画面</t>
  </si>
  <si>
    <t>期間/操作者/種別/対象の4キー検索一覧</t>
  </si>
  <si>
    <t>監査ログ画面</t>
  </si>
  <si>
    <t>【S5 小計】</t>
  </si>
  <si>
    <t>6</t>
  </si>
  <si>
    <t>テスト・リリース</t>
  </si>
  <si>
    <t>6.1</t>
  </si>
  <si>
    <t>自動テスト</t>
  </si>
  <si>
    <t>S6</t>
  </si>
  <si>
    <t>6.1.1</t>
  </si>
  <si>
    <t>単体テスト</t>
  </si>
  <si>
    <t>API・ビジネスロジック(Vitest)</t>
  </si>
  <si>
    <t>テストコード</t>
  </si>
  <si>
    <t>6.1.2</t>
  </si>
  <si>
    <t>結合テスト</t>
  </si>
  <si>
    <t>主要業務フローE2E(Playwright)</t>
  </si>
  <si>
    <t>E2Eテスト</t>
  </si>
  <si>
    <t>6.1.3</t>
  </si>
  <si>
    <t>AI出力テスト</t>
  </si>
  <si>
    <t>仕訳精度/分類精度検証</t>
  </si>
  <si>
    <t>手動+AI</t>
  </si>
  <si>
    <t>精度レポート</t>
  </si>
  <si>
    <t>6.2</t>
  </si>
  <si>
    <t>手動テスト</t>
  </si>
  <si>
    <t>6.2.1</t>
  </si>
  <si>
    <t>統合動作確認</t>
  </si>
  <si>
    <t>全画面遷移/全業務シナリオ</t>
  </si>
  <si>
    <t>テスト結果</t>
  </si>
  <si>
    <t>6.2.2</t>
  </si>
  <si>
    <t>バグ修正</t>
  </si>
  <si>
    <t>テスト発覚不具合修正</t>
  </si>
  <si>
    <t>修正コード</t>
  </si>
  <si>
    <t>6.2.3</t>
  </si>
  <si>
    <t>法令準拠確認</t>
  </si>
  <si>
    <t>インボイス/電帳法網羅チェック</t>
  </si>
  <si>
    <t>チェックリスト</t>
  </si>
  <si>
    <t>6.2.4</t>
  </si>
  <si>
    <t>認証/CSV/検索テスト</t>
  </si>
  <si>
    <t>MFA＋CSV取込＋6キー検索動作確認</t>
  </si>
  <si>
    <t>6.3</t>
  </si>
  <si>
    <t>リリース準備</t>
  </si>
  <si>
    <t>6.3.1</t>
  </si>
  <si>
    <t>本番環境</t>
  </si>
  <si>
    <t>Vercel＋Supabase本番設定</t>
  </si>
  <si>
    <t>6.3.2</t>
  </si>
  <si>
    <t>データ移行テスト</t>
  </si>
  <si>
    <t>Seed投入＋動作確認</t>
  </si>
  <si>
    <t>移行スクリプト</t>
  </si>
  <si>
    <t>6.3.3</t>
  </si>
  <si>
    <t>運用ドキュメント</t>
  </si>
  <si>
    <t>マニュアル＋BK/監視運用手順</t>
  </si>
  <si>
    <t>運用マニュアル</t>
  </si>
  <si>
    <t>【S6 小計】</t>
  </si>
  <si>
    <t>7</t>
  </si>
  <si>
    <t>バッファ</t>
  </si>
  <si>
    <t>7.1</t>
  </si>
  <si>
    <t>技術リスク</t>
  </si>
  <si>
    <t>AI精度/OCR精度(Azure DI)/外部API障害(429含む)/ジョブ詰まり/ワーカー停止/Redis障害</t>
  </si>
  <si>
    <t>Buffer</t>
  </si>
  <si>
    <t>7.2</t>
  </si>
  <si>
    <t>要件変更</t>
  </si>
  <si>
    <t>仕様変更/追加要望</t>
  </si>
  <si>
    <t>7.3</t>
  </si>
  <si>
    <t>手戻り</t>
  </si>
  <si>
    <t>AI生成コード品質/リファクタ</t>
  </si>
  <si>
    <t>【バッファ小計】</t>
  </si>
  <si>
    <t>━━━ 工数集計 ━━━</t>
  </si>
  <si>
    <t>S0 要件整理・設計</t>
  </si>
  <si>
    <t>S1 共通基盤</t>
  </si>
  <si>
    <t>S2 会計コア前半</t>
  </si>
  <si>
    <t>S3 会計コア後半＋CSV＋検索</t>
  </si>
  <si>
    <t>S4 受注・発注</t>
  </si>
  <si>
    <t>S5 決裁・分析＋監査ログ</t>
  </si>
  <si>
    <t>S6 テスト・リリース</t>
  </si>
  <si>
    <t>─────────────────</t>
  </si>
  <si>
    <t>Sprint実作業合計(S0-S6)</t>
  </si>
  <si>
    <t>技術6+要件4+手戻6</t>
  </si>
  <si>
    <t>計画合計</t>
  </si>
  <si>
    <t>240h枠 残余</t>
  </si>
  <si>
    <t>240 - 203.0 = 37.0</t>
  </si>
  <si>
    <t>期間</t>
  </si>
  <si>
    <t>主要タスク</t>
  </si>
  <si>
    <t>ゴール</t>
  </si>
  <si>
    <t>Epic</t>
  </si>
  <si>
    <t>Wk1前半</t>
  </si>
  <si>
    <t>19h</t>
  </si>
  <si>
    <t>設計全般: MVP選定＋トレーサビリティ / 方針書(非同期ジョブ/DI制限/モック/...) / DB設計 / インフラ構築(Azure DI/Azure Cache for Redis/ACA Jobs)</t>
  </si>
  <si>
    <t>設計完了・逸脱承認済み・開発着手可能</t>
  </si>
  <si>
    <t>ABAOS-DESIGN</t>
  </si>
  <si>
    <t>Wk1後半～Wk2</t>
  </si>
  <si>
    <t>27h</t>
  </si>
  <si>
    <t>共通基盤: 認証(MFA+OAuth) / ユーザー管理 / ロール・RLS / FE基盤 / API・アップロード・監査ログ / SEC文書・BK手順・監視</t>
  </si>
  <si>
    <t>認証(MFA)完動 / ユーザー管理動作 / SEC文書化完了</t>
  </si>
  <si>
    <t>ABAOS-FOUNDATION</t>
  </si>
  <si>
    <t>Wk3～Wk4</t>
  </si>
  <si>
    <t>38h</t>
  </si>
  <si>
    <t>会計コア前半: 証憑取込・OCR(非同期ワーカー/DI制限対応) / AI仕訳候補(簡易学習込み) / 取引先管理・名寄せ</t>
  </si>
  <si>
    <t>証憑→AI仕訳→確定フロー動作</t>
  </si>
  <si>
    <t>ABAOS-ACCT-CORE</t>
  </si>
  <si>
    <t>Wk4～Wk5</t>
  </si>
  <si>
    <t>24h</t>
  </si>
  <si>
    <t>会計コア後半: 仕訳一覧・試算表・消費税 / 銀行CSV・クレカCSV・突合 / 証憑検索(6キー) / 既存会計CSV取込(簡易)</t>
  </si>
  <si>
    <t>試算表出力可 / 電帳法検索OK / CSV取込OK</t>
  </si>
  <si>
    <t>ABAOS-ACCT-OUT</t>
  </si>
  <si>
    <t>Wk5～Wk6</t>
  </si>
  <si>
    <t>受注・発注: 受注→請求書PDF→売上計上 / 入金消込 / 受領請求書→買掛計上 / 支払予定・消込・異常検知</t>
  </si>
  <si>
    <t>請求書発行可 / 受発注フロー動作</t>
  </si>
  <si>
    <t>ABAOS-SO-PO</t>
  </si>
  <si>
    <t>Wk6～Wk7</t>
  </si>
  <si>
    <t>28h</t>
  </si>
  <si>
    <t>決裁・分析: 承認WF・AI事前審査 / ダッシュボード・PL・グラフ / AIサマリー・アラート / 監査ログ検索</t>
  </si>
  <si>
    <t>決裁動作 / ダッシュボード表示 / 監査ログ検索動作</t>
  </si>
  <si>
    <t>ABAOS-APR-RPT</t>
  </si>
  <si>
    <t>Wk7～Wk8</t>
  </si>
  <si>
    <t>テスト・リリース: 単体/結合/AI精度テスト / 統合確認・バグ修正 / 法令準拠確認 / 本番構築・ドキュメント</t>
  </si>
  <si>
    <t>MVPリリース完了</t>
  </si>
  <si>
    <t>ABAOS-RELEASE</t>
  </si>
  <si>
    <t>全期間</t>
  </si>
  <si>
    <t>16h</t>
  </si>
  <si>
    <t>技術リスク(6h) / 要件変更(4h) / 手戻り(6h)</t>
  </si>
  <si>
    <t>合計</t>
  </si>
  <si>
    <t>8週間</t>
  </si>
  <si>
    <t>203h</t>
  </si>
  <si>
    <t>Sprint実作業187h ＋ バッファ16h ＝ 203h</t>
  </si>
  <si>
    <t>240h枠 残余37h</t>
  </si>
  <si>
    <t>要件定義書の前提</t>
  </si>
  <si>
    <t>変更理由</t>
  </si>
  <si>
    <t>安全柵(同期処理)</t>
  </si>
  <si>
    <t>Phase2移行</t>
  </si>
  <si>
    <t>モジュラーモノリス＋非同期AIワーカー</t>
  </si>
  <si>
    <t>非同期ジョブ(BullMQ + Worker/ACA Jobs)</t>
  </si>
  <si>
    <t>OCR/AIは処理時間が変動しやすい。Web(API)はenqueueのみとしてタイムアウト/再実行リスクを最小化</t>
  </si>
  <si>
    <t>ファイル上限チェック(アップロード時/10MB暫定)
ジョブ状態(queued/running/succeeded/failed)
冪等性(同一ファイルの二重投入防止)
DI制限: POST=15TPS/ポーリング&gt;=2秒/retry-after/429バックオフ
進捗UI(ポーリング or SSE)</t>
  </si>
  <si>
    <t>キュー分割(重処理/軽処理)
並列度制御
DLQ(失敗隔離)</t>
  </si>
  <si>
    <t>document_parse ジョブ</t>
  </si>
  <si>
    <t>APIはenqueueのみ。Worker(ACA Jobs)でAzure DI呼出→結果保存</t>
  </si>
  <si>
    <t>Azure DIも長時間になり得るため、Workerで実行してWebの制約を回避</t>
  </si>
  <si>
    <t>BullMQ limiter(max=15/秒)でDI呼出を制御
結果ポーリング&gt;=2秒＋retry-after尊重
失敗→DLQ/再実行UI
重複検知(ハッシュ)</t>
  </si>
  <si>
    <t>ジョブ監視＋アラート
失敗はDLQへ退避</t>
  </si>
  <si>
    <t>journal_suggest ジョブ</t>
  </si>
  <si>
    <t>OCR完了後にClaude API呼出(同期 or 軽量ジョブ)</t>
  </si>
  <si>
    <t>レスポンス2-5秒</t>
  </si>
  <si>
    <t>Streaming SSEで逐次表示
失敗時は再生成ボタン
レート制限/コスト上限</t>
  </si>
  <si>
    <t>重処理化したらキュー化</t>
  </si>
  <si>
    <t>match_bank_statement</t>
  </si>
  <si>
    <t>CSV取込時に同期マッチング</t>
  </si>
  <si>
    <t>100-500行は同期で2-3秒以内</t>
  </si>
  <si>
    <t>1000行超は分割処理＋進捗バー</t>
  </si>
  <si>
    <t>大量データ時にバッチ化</t>
  </si>
  <si>
    <t>approval_risk_score</t>
  </si>
  <si>
    <t>申請保存時に同期算出</t>
  </si>
  <si>
    <t>ルールベース&lt;50ms</t>
  </si>
  <si>
    <t>安全柵不要（軽量処理）</t>
  </si>
  <si>
    <t>AI審査高度化時にジョブ化</t>
  </si>
  <si>
    <t>PostgreSQL + Redis + S3互換</t>
  </si>
  <si>
    <t>Supabase (PostgreSQL + Storage) + Azure Cache for Redis</t>
  </si>
  <si>
    <t>RLSはSupabaseで担保。RedisはBullMQ(ジョブ)とキャッシュ用途で利用</t>
  </si>
  <si>
    <t>Redis分離(Queue/Cache)が必要なら別インスタンス化</t>
  </si>
  <si>
    <t>REST / GraphQL</t>
  </si>
  <si>
    <t>REST (OpenAPI)</t>
  </si>
  <si>
    <t>要件(REST/GraphQL)に合わせMVPはRESTで統一。GraphQLはPhase2で必要時に追加</t>
  </si>
  <si>
    <t>必要時にGraphQL追加</t>
  </si>
  <si>
    <t>#</t>
  </si>
  <si>
    <t>操作</t>
  </si>
  <si>
    <t>詳細</t>
  </si>
  <si>
    <t>Atlassianアカウント作成</t>
  </si>
  <si>
    <t>https://www.atlassian.com/ja/software/jira → Freeプラン（10ユーザー無料）</t>
  </si>
  <si>
    <t>Scrumプロジェクト作成</t>
  </si>
  <si>
    <t>名前: AI Business Accounting OS / キー: ABAOS / チーム管理プロジェクト</t>
  </si>
  <si>
    <t>ボード設定</t>
  </si>
  <si>
    <t>列: To Do / In Progress / Review / Done</t>
  </si>
  <si>
    <t>Epic作成(7つ)</t>
  </si>
  <si>
    <t>ABAOS-DESIGN / ABAOS-FOUNDATION / ABAOS-ACCT-CORE / ABAOS-ACCT-OUT / ABAOS-SO-PO / ABAOS-APR-RPT / ABAOS-RELEASE</t>
  </si>
  <si>
    <t>Story作成(WBS中区分)</t>
  </si>
  <si>
    <t>タイトルにWBS ID含める。例: [3.7] 既存会計CSV取込(簡易) / Story Points = 工数÷2</t>
  </si>
  <si>
    <t>Subtask作成(WBS小区分)</t>
  </si>
  <si>
    <t>例: [3.7.1] CSV＋プレビュー / 見積時間フィールドに工数(h)直接入力</t>
  </si>
  <si>
    <t>Sprint作成(7+Buffer)</t>
  </si>
  <si>
    <t>S0～S6＋Buffer。名前に工数含める。例: S0: 要件整理・設計 (18h)</t>
  </si>
  <si>
    <t>Sprint割当</t>
  </si>
  <si>
    <t>バックログ→各Story/SubtaskをWBSのSprint列に従い該当Sprintにドラッグ</t>
  </si>
  <si>
    <t>ラベル設定</t>
  </si>
  <si>
    <t>「deviation」ラベル作成→逸脱一覧D-1～D-14関連タスクに付与。フィルタで進捗追跡</t>
  </si>
  <si>
    <t>ガジェット: Epicバーンダウン(全体進捗) / Sprint状況(現Sprint) / フィルター結果(残タスク)</t>
  </si>
  <si>
    <t>Sprint運用</t>
  </si>
  <si>
    <t>毎日ボード確認 / To Do→In Progress→Review→Done / Sprint終了時「完了」→振返り</t>
  </si>
  <si>
    <t>ロードマップ</t>
  </si>
  <si>
    <t>タイムライン表示でEpic単位の全体俯瞰。ドラッグで期間調整可能</t>
  </si>
  <si>
    <t>レポート</t>
  </si>
  <si>
    <t>バーンダウンチャート / Sprintレポートで消化率管理。目安: 各Sprint 80%以上消化</t>
  </si>
  <si>
    <t>領域</t>
  </si>
  <si>
    <t>技術</t>
  </si>
  <si>
    <t>選定理由</t>
  </si>
  <si>
    <t>モック再利用</t>
  </si>
  <si>
    <t>フロントエンド</t>
  </si>
  <si>
    <t>Next.js 14+ (TypeScript, App Router)</t>
  </si>
  <si>
    <t>TypeScriptでSSR/API統合。Vercelデプロイ。React資産活用</t>
  </si>
  <si>
    <t>UI層移植</t>
  </si>
  <si>
    <t>UIライブラリ</t>
  </si>
  <si>
    <t>shadcn/ui + Tailwind CSS</t>
  </si>
  <si>
    <t>AI生成相性良好。モック導入済み</t>
  </si>
  <si>
    <t>そのまま再利用</t>
  </si>
  <si>
    <t>チャート</t>
  </si>
  <si>
    <t>React用。モック導入済み</t>
  </si>
  <si>
    <t>API/BFF</t>
  </si>
  <si>
    <t>Next.js Route Handlers (REST) + OpenAPI</t>
  </si>
  <si>
    <t>要件(REST/GraphQL)に合わせMVPはRESTで統一。OpenAPIで外部連携/将来拡張を担保</t>
  </si>
  <si>
    <t>新規</t>
  </si>
  <si>
    <t>Queue / Job Broker</t>
  </si>
  <si>
    <t>BullMQ + Azure Cache for Redis</t>
  </si>
  <si>
    <t>非同期AIワーカー・リトライ・並列度制御。DI制限(15TPS等)に合わせレート制限が可能。RedisはAzureのマネージドで安定運用</t>
  </si>
  <si>
    <t>AIワーカー</t>
  </si>
  <si>
    <t>Node.js (TypeScript) Worker + Azure Container Apps Jobs</t>
  </si>
  <si>
    <t>OCR/AI処理をWebから分離。ACA ingress(240秒)制限を回避し、長時間処理/リトライ/スケールをJobsで担保</t>
  </si>
  <si>
    <t>BaaS / DB</t>
  </si>
  <si>
    <t>Supabase (PostgreSQL)</t>
  </si>
  <si>
    <t>Auth/Storage/RLS一体型。大幅工数削減</t>
  </si>
  <si>
    <t>DB新規構築</t>
  </si>
  <si>
    <t>認証</t>
  </si>
  <si>
    <t>Supabase Auth</t>
  </si>
  <si>
    <t>メール＋TOTP MFA＋Google OAuth。OIDC準拠</t>
  </si>
  <si>
    <t>ストレージ</t>
  </si>
  <si>
    <t>S3互換。RLS連動。保管時暗号化(SEC-003)</t>
  </si>
  <si>
    <t>OCR</t>
  </si>
  <si>
    <t>Azure AI Document Intelligence</t>
  </si>
  <si>
    <t>日本語帳票向け。非同期分析＋結果ポーリング(&gt;=2秒/Retry-After尊重)・既定TPS(POST=15)を考慮しキューで制御。一次情報: https://learn.microsoft.com/en-us/azure/ai-services/document-intelligence/service-limits?view=doc-intel-4.0.0</t>
  </si>
  <si>
    <t>AI(仕訳生成)</t>
  </si>
  <si>
    <t>Claude API (Sonnet)</t>
  </si>
  <si>
    <t>高精度日本語理解。構造化出力。コスト効率</t>
  </si>
  <si>
    <t>AI開発ツール</t>
  </si>
  <si>
    <t>Claude Code / Cursor</t>
  </si>
  <si>
    <t>指定要件。コード生成/レビュー/テスト</t>
  </si>
  <si>
    <t>テスト</t>
  </si>
  <si>
    <t>Vitest + Playwright</t>
  </si>
  <si>
    <t>Vite互換。E2E対応</t>
  </si>
  <si>
    <t>GitHub Actions + Vercel + Azure Container Apps</t>
  </si>
  <si>
    <t>WebはVercelへ自動デプロイ。WorkerはDockerビルド→ACAへデプロイ</t>
  </si>
  <si>
    <t>@react-pdf/renderer</t>
  </si>
  <si>
    <t>適格請求書PDF。React内完結</t>
  </si>
  <si>
    <t>チケット管理</t>
  </si>
  <si>
    <t>Jira (Free)</t>
  </si>
  <si>
    <t>WBS＋Sprint管理。10ユーザー無料</t>
  </si>
  <si>
    <t>TLS/HTTPS</t>
  </si>
  <si>
    <t>Vercel + Supabase + Azure (DI/ACA/Redis) 標準TLS</t>
  </si>
  <si>
    <t>マネージドTLSでSEC-002を低工数充足。RedisもAzure側でTLS</t>
  </si>
  <si>
    <t>マネージド</t>
  </si>
  <si>
    <t>Supabase 自動バックアップ</t>
  </si>
  <si>
    <t>Supabase自動バックアップ＋リストア手順。証憑はStorage保持ポリシーで対応</t>
  </si>
  <si>
    <t>Vercel Analytics + Supabase + Azure Logs + Redis Metrics</t>
  </si>
  <si>
    <t>Web/DB/Worker/Queueを横断監視。DIの429/失敗率・ジョブ滞留・Redis稼働をアラート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</si>
</sst>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>
      <b/>
      <sz val="10.0"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C8E6C9"/>
        <bgColor rgb="FFC8E6C9"/>
      </patternFill>
    </fill>
    <fill>
      <patternFill patternType="solid">
        <fgColor rgb="FFFFF3E0"/>
        <bgColor rgb="FFFFF3E0"/>
      </patternFill>
    </fill>
    <fill>
      <patternFill patternType="solid">
        <fgColor rgb="FFF5F5F5"/>
        <bgColor rgb="FFF5F5F5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2DCDB"/>
        <bgColor rgb="FFF2DCDB"/>
      </patternFill>
    </fill>
    <fill>
      <patternFill patternType="solid">
        <fgColor rgb="FFE6D5F5"/>
        <bgColor rgb="FFE6D5F5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5" fontId="5" numFmtId="0" xfId="0" applyAlignment="1" applyBorder="1" applyFill="1" applyFont="1">
      <alignment shrinkToFit="0" vertical="center" wrapText="1"/>
    </xf>
    <xf borderId="1" fillId="6" fontId="5" numFmtId="0" xfId="0" applyAlignment="1" applyBorder="1" applyFill="1" applyFont="1">
      <alignment shrinkToFit="0" vertical="center" wrapText="1"/>
    </xf>
    <xf borderId="1" fillId="7" fontId="1" numFmtId="0" xfId="0" applyAlignment="1" applyBorder="1" applyFill="1" applyFont="1">
      <alignment shrinkToFit="0" vertical="center" wrapText="1"/>
    </xf>
    <xf borderId="0" fillId="0" fontId="6" numFmtId="0" xfId="0" applyFont="1"/>
    <xf borderId="1" fillId="8" fontId="1" numFmtId="0" xfId="0" applyBorder="1" applyFill="1" applyFont="1"/>
    <xf borderId="1" fillId="0" fontId="5" numFmtId="0" xfId="0" applyBorder="1" applyFont="1"/>
    <xf borderId="1" fillId="8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9" fontId="7" numFmtId="0" xfId="0" applyAlignment="1" applyBorder="1" applyFill="1" applyFont="1">
      <alignment shrinkToFit="0" vertical="center" wrapText="1"/>
    </xf>
    <xf borderId="1" fillId="10" fontId="7" numFmtId="0" xfId="0" applyAlignment="1" applyBorder="1" applyFill="1" applyFont="1">
      <alignment shrinkToFit="0" vertical="center" wrapText="1"/>
    </xf>
    <xf borderId="1" fillId="11" fontId="7" numFmtId="0" xfId="0" applyAlignment="1" applyBorder="1" applyFill="1" applyFont="1">
      <alignment shrinkToFit="0" vertical="center" wrapText="1"/>
    </xf>
    <xf borderId="1" fillId="12" fontId="7" numFmtId="0" xfId="0" applyAlignment="1" applyBorder="1" applyFill="1" applyFont="1">
      <alignment shrinkToFit="0" vertical="center" wrapText="1"/>
    </xf>
    <xf borderId="1" fillId="7" fontId="7" numFmtId="0" xfId="0" applyAlignment="1" applyBorder="1" applyFont="1">
      <alignment shrinkToFit="0" vertical="center" wrapText="1"/>
    </xf>
    <xf borderId="1" fillId="9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28.0"/>
    <col customWidth="1" min="3" max="3" width="12.0"/>
    <col customWidth="1" min="4" max="4" width="4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tr">
        <f>IF('必須要件トレーサビリティ'!C118="102件 = 102件 ✓","OK","要確認")</f>
        <v>OK</v>
      </c>
    </row>
    <row r="3">
      <c r="A3" s="2" t="s">
        <v>6</v>
      </c>
      <c r="B3" s="2" t="s">
        <v>7</v>
      </c>
      <c r="C3" s="2" t="str">
        <f>IF(WBS_V8!F136=SUM(WBS_V8!F128:F134),"OK","NG")</f>
        <v>OK</v>
      </c>
    </row>
    <row r="4">
      <c r="A4" s="2" t="s">
        <v>8</v>
      </c>
      <c r="B4" s="2" t="s">
        <v>9</v>
      </c>
      <c r="C4" s="2" t="str">
        <f>IF(WBS_V8!F138=WBS_V8!F136+WBS_V8!F137,"OK","NG")</f>
        <v>OK</v>
      </c>
    </row>
    <row r="5">
      <c r="A5" s="2" t="s">
        <v>10</v>
      </c>
      <c r="B5" s="2" t="s">
        <v>9</v>
      </c>
      <c r="C5" s="2" t="str">
        <f>IF(WBS_V8!F138&lt;=240,"OK","NG")</f>
        <v>OK</v>
      </c>
      <c r="D5" s="2" t="s">
        <v>11</v>
      </c>
    </row>
    <row r="6">
      <c r="A6" s="2" t="s">
        <v>12</v>
      </c>
      <c r="B6" s="2" t="s">
        <v>13</v>
      </c>
      <c r="C6" s="2" t="s">
        <v>14</v>
      </c>
      <c r="D6" s="2" t="s">
        <v>15</v>
      </c>
    </row>
    <row r="7">
      <c r="A7" s="2" t="s">
        <v>16</v>
      </c>
      <c r="B7" s="2" t="s">
        <v>17</v>
      </c>
      <c r="C7" s="2" t="s">
        <v>18</v>
      </c>
      <c r="D7" s="2" t="s">
        <v>19</v>
      </c>
    </row>
    <row r="8">
      <c r="A8" s="2" t="s">
        <v>20</v>
      </c>
      <c r="B8" s="2" t="s">
        <v>21</v>
      </c>
      <c r="C8" s="2" t="s">
        <v>22</v>
      </c>
      <c r="D8" s="2" t="s">
        <v>23</v>
      </c>
    </row>
    <row r="9">
      <c r="A9" s="2" t="s">
        <v>24</v>
      </c>
      <c r="B9" s="2" t="s">
        <v>25</v>
      </c>
      <c r="C9" s="2" t="s">
        <v>22</v>
      </c>
      <c r="D9" s="2" t="s">
        <v>26</v>
      </c>
    </row>
    <row r="10">
      <c r="A10" s="2" t="s">
        <v>27</v>
      </c>
      <c r="B10" s="2" t="s">
        <v>28</v>
      </c>
      <c r="C10" s="2" t="s">
        <v>22</v>
      </c>
      <c r="D10" s="2" t="s">
        <v>29</v>
      </c>
    </row>
    <row r="11">
      <c r="A11" s="2" t="s">
        <v>30</v>
      </c>
      <c r="B11" s="2" t="s">
        <v>31</v>
      </c>
      <c r="C11" s="2" t="s">
        <v>22</v>
      </c>
      <c r="D11" s="2" t="s">
        <v>32</v>
      </c>
    </row>
    <row r="12">
      <c r="A12" s="2" t="s">
        <v>33</v>
      </c>
      <c r="B12" s="2" t="s">
        <v>17</v>
      </c>
      <c r="C12" s="2" t="s">
        <v>22</v>
      </c>
      <c r="D12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24.0"/>
    <col customWidth="1" min="4" max="4" width="48.0"/>
    <col customWidth="1" min="5" max="5" width="16.0"/>
    <col customWidth="1" min="6" max="6" width="8.0"/>
    <col customWidth="1" min="7" max="7" width="16.0"/>
    <col customWidth="1" min="8" max="26" width="8.71"/>
  </cols>
  <sheetData>
    <row r="1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</row>
    <row r="2">
      <c r="A2" s="4" t="s">
        <v>42</v>
      </c>
      <c r="B2" s="4" t="s">
        <v>43</v>
      </c>
      <c r="C2" s="4"/>
      <c r="D2" s="4"/>
      <c r="E2" s="4"/>
      <c r="F2" s="4"/>
      <c r="G2" s="4"/>
    </row>
    <row r="3">
      <c r="A3" s="5" t="s">
        <v>44</v>
      </c>
      <c r="B3" s="5" t="s">
        <v>45</v>
      </c>
      <c r="C3" s="6" t="s">
        <v>46</v>
      </c>
      <c r="D3" s="5" t="s">
        <v>47</v>
      </c>
      <c r="E3" s="5" t="s">
        <v>48</v>
      </c>
      <c r="F3" s="5"/>
      <c r="G3" s="5"/>
    </row>
    <row r="4">
      <c r="A4" s="5" t="s">
        <v>49</v>
      </c>
      <c r="B4" s="5" t="s">
        <v>50</v>
      </c>
      <c r="C4" s="6" t="s">
        <v>46</v>
      </c>
      <c r="D4" s="5" t="s">
        <v>51</v>
      </c>
      <c r="E4" s="5" t="s">
        <v>52</v>
      </c>
      <c r="F4" s="5"/>
      <c r="G4" s="5"/>
    </row>
    <row r="5">
      <c r="A5" s="5" t="s">
        <v>53</v>
      </c>
      <c r="B5" s="5" t="s">
        <v>54</v>
      </c>
      <c r="C5" s="7" t="s">
        <v>55</v>
      </c>
      <c r="D5" s="5" t="s">
        <v>56</v>
      </c>
      <c r="E5" s="5" t="s">
        <v>57</v>
      </c>
      <c r="F5" s="5" t="s">
        <v>58</v>
      </c>
      <c r="G5" s="5"/>
    </row>
    <row r="6">
      <c r="A6" s="5" t="s">
        <v>59</v>
      </c>
      <c r="B6" s="5" t="s">
        <v>60</v>
      </c>
      <c r="C6" s="7" t="s">
        <v>55</v>
      </c>
      <c r="D6" s="5" t="s">
        <v>61</v>
      </c>
      <c r="E6" s="5" t="s">
        <v>62</v>
      </c>
      <c r="F6" s="5" t="s">
        <v>63</v>
      </c>
      <c r="G6" s="5"/>
    </row>
    <row r="7">
      <c r="A7" s="5" t="s">
        <v>64</v>
      </c>
      <c r="B7" s="5" t="s">
        <v>65</v>
      </c>
      <c r="C7" s="6" t="s">
        <v>46</v>
      </c>
      <c r="D7" s="5" t="s">
        <v>66</v>
      </c>
      <c r="E7" s="5" t="s">
        <v>67</v>
      </c>
      <c r="F7" s="5"/>
      <c r="G7" s="5"/>
    </row>
    <row r="8">
      <c r="A8" s="5" t="s">
        <v>68</v>
      </c>
      <c r="B8" s="5" t="s">
        <v>69</v>
      </c>
      <c r="C8" s="6" t="s">
        <v>46</v>
      </c>
      <c r="D8" s="5" t="s">
        <v>70</v>
      </c>
      <c r="E8" s="5" t="s">
        <v>67</v>
      </c>
      <c r="F8" s="5"/>
      <c r="G8" s="5"/>
    </row>
    <row r="9">
      <c r="A9" s="5" t="s">
        <v>71</v>
      </c>
      <c r="B9" s="5" t="s">
        <v>72</v>
      </c>
      <c r="C9" s="6" t="s">
        <v>46</v>
      </c>
      <c r="D9" s="5" t="s">
        <v>73</v>
      </c>
      <c r="E9" s="5" t="s">
        <v>74</v>
      </c>
      <c r="F9" s="5"/>
      <c r="G9" s="5"/>
    </row>
    <row r="10">
      <c r="A10" s="5" t="s">
        <v>75</v>
      </c>
      <c r="B10" s="5" t="s">
        <v>76</v>
      </c>
      <c r="C10" s="6" t="s">
        <v>46</v>
      </c>
      <c r="D10" s="5" t="s">
        <v>77</v>
      </c>
      <c r="E10" s="5" t="s">
        <v>78</v>
      </c>
      <c r="F10" s="5"/>
      <c r="G10" s="5"/>
    </row>
    <row r="11">
      <c r="A11" s="5" t="s">
        <v>79</v>
      </c>
      <c r="B11" s="5" t="s">
        <v>80</v>
      </c>
      <c r="C11" s="6" t="s">
        <v>46</v>
      </c>
      <c r="D11" s="5" t="s">
        <v>81</v>
      </c>
      <c r="E11" s="5" t="s">
        <v>78</v>
      </c>
      <c r="F11" s="5"/>
      <c r="G11" s="5"/>
    </row>
    <row r="12">
      <c r="A12" s="5" t="s">
        <v>82</v>
      </c>
      <c r="B12" s="5" t="s">
        <v>83</v>
      </c>
      <c r="C12" s="6" t="s">
        <v>46</v>
      </c>
      <c r="D12" s="5" t="s">
        <v>84</v>
      </c>
      <c r="E12" s="5" t="s">
        <v>85</v>
      </c>
      <c r="F12" s="5"/>
      <c r="G12" s="5"/>
    </row>
    <row r="13">
      <c r="A13" s="5" t="s">
        <v>86</v>
      </c>
      <c r="B13" s="5" t="s">
        <v>87</v>
      </c>
      <c r="C13" s="6" t="s">
        <v>46</v>
      </c>
      <c r="D13" s="5" t="s">
        <v>88</v>
      </c>
      <c r="E13" s="5" t="s">
        <v>89</v>
      </c>
      <c r="F13" s="5"/>
      <c r="G13" s="5"/>
    </row>
    <row r="14">
      <c r="A14" s="5" t="s">
        <v>90</v>
      </c>
      <c r="B14" s="5" t="s">
        <v>91</v>
      </c>
      <c r="C14" s="6" t="s">
        <v>46</v>
      </c>
      <c r="D14" s="5" t="s">
        <v>92</v>
      </c>
      <c r="E14" s="5" t="s">
        <v>93</v>
      </c>
      <c r="F14" s="5"/>
      <c r="G14" s="5"/>
    </row>
    <row r="15">
      <c r="A15" s="5" t="s">
        <v>94</v>
      </c>
      <c r="B15" s="5" t="s">
        <v>95</v>
      </c>
      <c r="C15" s="7" t="s">
        <v>55</v>
      </c>
      <c r="D15" s="5" t="s">
        <v>96</v>
      </c>
      <c r="E15" s="5" t="s">
        <v>89</v>
      </c>
      <c r="F15" s="5" t="s">
        <v>97</v>
      </c>
      <c r="G15" s="5"/>
    </row>
    <row r="16">
      <c r="A16" s="4" t="s">
        <v>42</v>
      </c>
      <c r="B16" s="4" t="s">
        <v>98</v>
      </c>
      <c r="C16" s="4"/>
      <c r="D16" s="4"/>
      <c r="E16" s="4"/>
      <c r="F16" s="4"/>
      <c r="G16" s="4"/>
    </row>
    <row r="17">
      <c r="A17" s="5" t="s">
        <v>99</v>
      </c>
      <c r="B17" s="5" t="s">
        <v>100</v>
      </c>
      <c r="C17" s="7" t="s">
        <v>55</v>
      </c>
      <c r="D17" s="5" t="s">
        <v>101</v>
      </c>
      <c r="E17" s="5" t="s">
        <v>102</v>
      </c>
      <c r="F17" s="5" t="s">
        <v>103</v>
      </c>
      <c r="G17" s="5"/>
    </row>
    <row r="18">
      <c r="A18" s="5" t="s">
        <v>104</v>
      </c>
      <c r="B18" s="5" t="s">
        <v>105</v>
      </c>
      <c r="C18" s="6" t="s">
        <v>46</v>
      </c>
      <c r="D18" s="5" t="s">
        <v>106</v>
      </c>
      <c r="E18" s="5" t="s">
        <v>107</v>
      </c>
      <c r="F18" s="5"/>
      <c r="G18" s="5"/>
    </row>
    <row r="19">
      <c r="A19" s="5" t="s">
        <v>108</v>
      </c>
      <c r="B19" s="5" t="s">
        <v>109</v>
      </c>
      <c r="C19" s="6" t="s">
        <v>46</v>
      </c>
      <c r="D19" s="5" t="s">
        <v>110</v>
      </c>
      <c r="E19" s="5" t="s">
        <v>111</v>
      </c>
      <c r="F19" s="5"/>
      <c r="G19" s="5"/>
    </row>
    <row r="20">
      <c r="A20" s="5" t="s">
        <v>112</v>
      </c>
      <c r="B20" s="5" t="s">
        <v>113</v>
      </c>
      <c r="C20" s="7" t="s">
        <v>55</v>
      </c>
      <c r="D20" s="5" t="s">
        <v>114</v>
      </c>
      <c r="E20" s="5" t="s">
        <v>115</v>
      </c>
      <c r="F20" s="5" t="s">
        <v>116</v>
      </c>
      <c r="G20" s="5"/>
    </row>
    <row r="21" ht="15.75" customHeight="1">
      <c r="A21" s="5" t="s">
        <v>117</v>
      </c>
      <c r="B21" s="5" t="s">
        <v>118</v>
      </c>
      <c r="C21" s="6" t="s">
        <v>46</v>
      </c>
      <c r="D21" s="5" t="s">
        <v>119</v>
      </c>
      <c r="E21" s="5" t="s">
        <v>120</v>
      </c>
      <c r="F21" s="5"/>
      <c r="G21" s="5"/>
    </row>
    <row r="22" ht="15.75" customHeight="1">
      <c r="A22" s="5" t="s">
        <v>121</v>
      </c>
      <c r="B22" s="5" t="s">
        <v>122</v>
      </c>
      <c r="C22" s="6" t="s">
        <v>46</v>
      </c>
      <c r="D22" s="5" t="s">
        <v>123</v>
      </c>
      <c r="E22" s="5" t="s">
        <v>124</v>
      </c>
      <c r="F22" s="5"/>
      <c r="G22" s="5"/>
    </row>
    <row r="23" ht="15.75" customHeight="1">
      <c r="A23" s="5" t="s">
        <v>125</v>
      </c>
      <c r="B23" s="5" t="s">
        <v>126</v>
      </c>
      <c r="C23" s="6" t="s">
        <v>46</v>
      </c>
      <c r="D23" s="5" t="s">
        <v>127</v>
      </c>
      <c r="E23" s="5" t="s">
        <v>78</v>
      </c>
      <c r="F23" s="5"/>
      <c r="G23" s="5"/>
    </row>
    <row r="24" ht="15.75" customHeight="1">
      <c r="A24" s="5" t="s">
        <v>128</v>
      </c>
      <c r="B24" s="5" t="s">
        <v>129</v>
      </c>
      <c r="C24" s="6" t="s">
        <v>46</v>
      </c>
      <c r="D24" s="5" t="s">
        <v>130</v>
      </c>
      <c r="E24" s="5" t="s">
        <v>89</v>
      </c>
      <c r="F24" s="5"/>
      <c r="G24" s="5"/>
    </row>
    <row r="25" ht="15.75" customHeight="1">
      <c r="A25" s="5" t="s">
        <v>131</v>
      </c>
      <c r="B25" s="5" t="s">
        <v>132</v>
      </c>
      <c r="C25" s="6" t="s">
        <v>46</v>
      </c>
      <c r="D25" s="5" t="s">
        <v>133</v>
      </c>
      <c r="E25" s="5" t="s">
        <v>134</v>
      </c>
      <c r="F25" s="5"/>
      <c r="G25" s="5"/>
    </row>
    <row r="26" ht="15.75" customHeight="1">
      <c r="A26" s="5" t="s">
        <v>135</v>
      </c>
      <c r="B26" s="5" t="s">
        <v>136</v>
      </c>
      <c r="C26" s="6" t="s">
        <v>46</v>
      </c>
      <c r="D26" s="5" t="s">
        <v>137</v>
      </c>
      <c r="E26" s="5" t="s">
        <v>120</v>
      </c>
      <c r="F26" s="5"/>
      <c r="G26" s="5"/>
    </row>
    <row r="27" ht="15.75" customHeight="1">
      <c r="A27" s="5" t="s">
        <v>138</v>
      </c>
      <c r="B27" s="5" t="s">
        <v>139</v>
      </c>
      <c r="C27" s="6" t="s">
        <v>46</v>
      </c>
      <c r="D27" s="5" t="s">
        <v>140</v>
      </c>
      <c r="E27" s="5" t="s">
        <v>141</v>
      </c>
      <c r="F27" s="5"/>
      <c r="G27" s="5"/>
    </row>
    <row r="28" ht="15.75" customHeight="1">
      <c r="A28" s="5" t="s">
        <v>142</v>
      </c>
      <c r="B28" s="5" t="s">
        <v>143</v>
      </c>
      <c r="C28" s="6" t="s">
        <v>46</v>
      </c>
      <c r="D28" s="5" t="s">
        <v>144</v>
      </c>
      <c r="E28" s="5" t="s">
        <v>145</v>
      </c>
      <c r="F28" s="5"/>
      <c r="G28" s="5"/>
    </row>
    <row r="29" ht="15.75" customHeight="1">
      <c r="A29" s="5" t="s">
        <v>146</v>
      </c>
      <c r="B29" s="5" t="s">
        <v>147</v>
      </c>
      <c r="C29" s="6" t="s">
        <v>46</v>
      </c>
      <c r="D29" s="5" t="s">
        <v>148</v>
      </c>
      <c r="E29" s="5" t="s">
        <v>149</v>
      </c>
      <c r="F29" s="5"/>
      <c r="G29" s="5"/>
    </row>
    <row r="30" ht="15.75" customHeight="1">
      <c r="A30" s="5" t="s">
        <v>150</v>
      </c>
      <c r="B30" s="5" t="s">
        <v>151</v>
      </c>
      <c r="C30" s="7" t="s">
        <v>55</v>
      </c>
      <c r="D30" s="5" t="s">
        <v>152</v>
      </c>
      <c r="E30" s="5" t="s">
        <v>153</v>
      </c>
      <c r="F30" s="5" t="s">
        <v>154</v>
      </c>
      <c r="G30" s="5"/>
    </row>
    <row r="31" ht="15.75" customHeight="1">
      <c r="A31" s="5" t="s">
        <v>155</v>
      </c>
      <c r="B31" s="5" t="s">
        <v>156</v>
      </c>
      <c r="C31" s="6" t="s">
        <v>46</v>
      </c>
      <c r="D31" s="5" t="s">
        <v>157</v>
      </c>
      <c r="E31" s="5" t="s">
        <v>158</v>
      </c>
      <c r="F31" s="5"/>
      <c r="G31" s="5"/>
    </row>
    <row r="32" ht="15.75" customHeight="1">
      <c r="A32" s="5" t="s">
        <v>159</v>
      </c>
      <c r="B32" s="5" t="s">
        <v>160</v>
      </c>
      <c r="C32" s="6" t="s">
        <v>46</v>
      </c>
      <c r="D32" s="5" t="s">
        <v>161</v>
      </c>
      <c r="E32" s="5" t="s">
        <v>89</v>
      </c>
      <c r="F32" s="5"/>
      <c r="G32" s="5"/>
    </row>
    <row r="33" ht="15.75" customHeight="1">
      <c r="A33" s="5" t="s">
        <v>162</v>
      </c>
      <c r="B33" s="5" t="s">
        <v>163</v>
      </c>
      <c r="C33" s="6" t="s">
        <v>46</v>
      </c>
      <c r="D33" s="5" t="s">
        <v>164</v>
      </c>
      <c r="E33" s="5" t="s">
        <v>165</v>
      </c>
      <c r="F33" s="5"/>
      <c r="G33" s="5"/>
    </row>
    <row r="34" ht="15.75" customHeight="1">
      <c r="A34" s="5" t="s">
        <v>166</v>
      </c>
      <c r="B34" s="5" t="s">
        <v>167</v>
      </c>
      <c r="C34" s="6" t="s">
        <v>46</v>
      </c>
      <c r="D34" s="5" t="s">
        <v>168</v>
      </c>
      <c r="E34" s="5" t="s">
        <v>89</v>
      </c>
      <c r="F34" s="5"/>
      <c r="G34" s="5"/>
    </row>
    <row r="35" ht="15.75" customHeight="1">
      <c r="A35" s="5" t="s">
        <v>169</v>
      </c>
      <c r="B35" s="5" t="s">
        <v>170</v>
      </c>
      <c r="C35" s="7" t="s">
        <v>55</v>
      </c>
      <c r="D35" s="5" t="s">
        <v>171</v>
      </c>
      <c r="E35" s="5" t="s">
        <v>172</v>
      </c>
      <c r="F35" s="5" t="s">
        <v>97</v>
      </c>
      <c r="G35" s="5"/>
    </row>
    <row r="36" ht="15.75" customHeight="1">
      <c r="A36" s="5" t="s">
        <v>173</v>
      </c>
      <c r="B36" s="5" t="s">
        <v>174</v>
      </c>
      <c r="C36" s="6" t="s">
        <v>46</v>
      </c>
      <c r="D36" s="5" t="s">
        <v>175</v>
      </c>
      <c r="E36" s="5" t="s">
        <v>176</v>
      </c>
      <c r="F36" s="5"/>
      <c r="G36" s="5"/>
    </row>
    <row r="37" ht="15.75" customHeight="1">
      <c r="A37" s="5" t="s">
        <v>177</v>
      </c>
      <c r="B37" s="5" t="s">
        <v>178</v>
      </c>
      <c r="C37" s="8" t="s">
        <v>179</v>
      </c>
      <c r="D37" s="5" t="s">
        <v>180</v>
      </c>
      <c r="E37" s="5" t="s">
        <v>42</v>
      </c>
      <c r="F37" s="5" t="s">
        <v>181</v>
      </c>
      <c r="G37" s="5"/>
    </row>
    <row r="38" ht="15.75" customHeight="1">
      <c r="A38" s="5" t="s">
        <v>182</v>
      </c>
      <c r="B38" s="5" t="s">
        <v>183</v>
      </c>
      <c r="C38" s="6" t="s">
        <v>46</v>
      </c>
      <c r="D38" s="5" t="s">
        <v>184</v>
      </c>
      <c r="E38" s="5" t="s">
        <v>120</v>
      </c>
      <c r="F38" s="5"/>
      <c r="G38" s="5"/>
    </row>
    <row r="39" ht="15.75" customHeight="1">
      <c r="A39" s="5" t="s">
        <v>185</v>
      </c>
      <c r="B39" s="5" t="s">
        <v>186</v>
      </c>
      <c r="C39" s="6" t="s">
        <v>46</v>
      </c>
      <c r="D39" s="5" t="s">
        <v>187</v>
      </c>
      <c r="E39" s="5" t="s">
        <v>188</v>
      </c>
      <c r="F39" s="5"/>
      <c r="G39" s="5"/>
    </row>
    <row r="40" ht="15.75" customHeight="1">
      <c r="A40" s="4" t="s">
        <v>42</v>
      </c>
      <c r="B40" s="4" t="s">
        <v>189</v>
      </c>
      <c r="C40" s="4"/>
      <c r="D40" s="4"/>
      <c r="E40" s="4"/>
      <c r="F40" s="4"/>
      <c r="G40" s="4"/>
    </row>
    <row r="41" ht="15.75" customHeight="1">
      <c r="A41" s="5" t="s">
        <v>190</v>
      </c>
      <c r="B41" s="5" t="s">
        <v>191</v>
      </c>
      <c r="C41" s="6" t="s">
        <v>46</v>
      </c>
      <c r="D41" s="5" t="s">
        <v>192</v>
      </c>
      <c r="E41" s="5" t="s">
        <v>193</v>
      </c>
      <c r="F41" s="5"/>
      <c r="G41" s="5"/>
    </row>
    <row r="42" ht="15.75" customHeight="1">
      <c r="A42" s="5" t="s">
        <v>194</v>
      </c>
      <c r="B42" s="5" t="s">
        <v>195</v>
      </c>
      <c r="C42" s="6" t="s">
        <v>46</v>
      </c>
      <c r="D42" s="5" t="s">
        <v>196</v>
      </c>
      <c r="E42" s="5" t="s">
        <v>107</v>
      </c>
      <c r="F42" s="5"/>
      <c r="G42" s="5"/>
    </row>
    <row r="43" ht="15.75" customHeight="1">
      <c r="A43" s="5" t="s">
        <v>197</v>
      </c>
      <c r="B43" s="5" t="s">
        <v>198</v>
      </c>
      <c r="C43" s="6" t="s">
        <v>46</v>
      </c>
      <c r="D43" s="5" t="s">
        <v>199</v>
      </c>
      <c r="E43" s="5" t="s">
        <v>193</v>
      </c>
      <c r="F43" s="5"/>
      <c r="G43" s="5"/>
    </row>
    <row r="44" ht="15.75" customHeight="1">
      <c r="A44" s="5" t="s">
        <v>200</v>
      </c>
      <c r="B44" s="5" t="s">
        <v>201</v>
      </c>
      <c r="C44" s="6" t="s">
        <v>46</v>
      </c>
      <c r="D44" s="5" t="s">
        <v>202</v>
      </c>
      <c r="E44" s="5" t="s">
        <v>203</v>
      </c>
      <c r="F44" s="5"/>
      <c r="G44" s="5"/>
    </row>
    <row r="45" ht="15.75" customHeight="1">
      <c r="A45" s="5" t="s">
        <v>204</v>
      </c>
      <c r="B45" s="5" t="s">
        <v>205</v>
      </c>
      <c r="C45" s="6" t="s">
        <v>46</v>
      </c>
      <c r="D45" s="5" t="s">
        <v>206</v>
      </c>
      <c r="E45" s="5" t="s">
        <v>207</v>
      </c>
      <c r="F45" s="5"/>
      <c r="G45" s="5"/>
    </row>
    <row r="46" ht="15.75" customHeight="1">
      <c r="A46" s="5" t="s">
        <v>208</v>
      </c>
      <c r="B46" s="5" t="s">
        <v>209</v>
      </c>
      <c r="C46" s="6" t="s">
        <v>46</v>
      </c>
      <c r="D46" s="5" t="s">
        <v>210</v>
      </c>
      <c r="E46" s="5" t="s">
        <v>211</v>
      </c>
      <c r="F46" s="5"/>
      <c r="G46" s="5"/>
    </row>
    <row r="47" ht="15.75" customHeight="1">
      <c r="A47" s="5" t="s">
        <v>212</v>
      </c>
      <c r="B47" s="5" t="s">
        <v>213</v>
      </c>
      <c r="C47" s="6" t="s">
        <v>46</v>
      </c>
      <c r="D47" s="5" t="s">
        <v>214</v>
      </c>
      <c r="E47" s="5" t="s">
        <v>215</v>
      </c>
      <c r="F47" s="5"/>
      <c r="G47" s="5"/>
    </row>
    <row r="48" ht="15.75" customHeight="1">
      <c r="A48" s="5" t="s">
        <v>216</v>
      </c>
      <c r="B48" s="5" t="s">
        <v>217</v>
      </c>
      <c r="C48" s="8" t="s">
        <v>179</v>
      </c>
      <c r="D48" s="5" t="s">
        <v>218</v>
      </c>
      <c r="E48" s="5" t="s">
        <v>42</v>
      </c>
      <c r="F48" s="5" t="s">
        <v>219</v>
      </c>
      <c r="G48" s="5"/>
    </row>
    <row r="49" ht="15.75" customHeight="1">
      <c r="A49" s="5" t="s">
        <v>220</v>
      </c>
      <c r="B49" s="5" t="s">
        <v>221</v>
      </c>
      <c r="C49" s="8" t="s">
        <v>179</v>
      </c>
      <c r="D49" s="5" t="s">
        <v>222</v>
      </c>
      <c r="E49" s="5" t="s">
        <v>42</v>
      </c>
      <c r="F49" s="5" t="s">
        <v>219</v>
      </c>
      <c r="G49" s="5"/>
    </row>
    <row r="50" ht="15.75" customHeight="1">
      <c r="A50" s="5" t="s">
        <v>223</v>
      </c>
      <c r="B50" s="5" t="s">
        <v>224</v>
      </c>
      <c r="C50" s="6" t="s">
        <v>46</v>
      </c>
      <c r="D50" s="5" t="s">
        <v>225</v>
      </c>
      <c r="E50" s="5" t="s">
        <v>215</v>
      </c>
      <c r="F50" s="5"/>
      <c r="G50" s="5"/>
    </row>
    <row r="51" ht="15.75" customHeight="1">
      <c r="A51" s="5" t="s">
        <v>226</v>
      </c>
      <c r="B51" s="5" t="s">
        <v>227</v>
      </c>
      <c r="C51" s="8" t="s">
        <v>179</v>
      </c>
      <c r="D51" s="5" t="s">
        <v>228</v>
      </c>
      <c r="E51" s="5" t="s">
        <v>42</v>
      </c>
      <c r="F51" s="5" t="s">
        <v>229</v>
      </c>
      <c r="G51" s="5"/>
    </row>
    <row r="52" ht="15.75" customHeight="1">
      <c r="A52" s="5" t="s">
        <v>230</v>
      </c>
      <c r="B52" s="5" t="s">
        <v>231</v>
      </c>
      <c r="C52" s="8" t="s">
        <v>179</v>
      </c>
      <c r="D52" s="5" t="s">
        <v>232</v>
      </c>
      <c r="E52" s="5" t="s">
        <v>42</v>
      </c>
      <c r="F52" s="5" t="s">
        <v>229</v>
      </c>
      <c r="G52" s="5"/>
    </row>
    <row r="53" ht="15.75" customHeight="1">
      <c r="A53" s="5" t="s">
        <v>233</v>
      </c>
      <c r="B53" s="5" t="s">
        <v>234</v>
      </c>
      <c r="C53" s="6" t="s">
        <v>46</v>
      </c>
      <c r="D53" s="5" t="s">
        <v>235</v>
      </c>
      <c r="E53" s="5" t="s">
        <v>215</v>
      </c>
      <c r="F53" s="5"/>
      <c r="G53" s="5"/>
    </row>
    <row r="54" ht="15.75" customHeight="1">
      <c r="A54" s="4" t="s">
        <v>42</v>
      </c>
      <c r="B54" s="4" t="s">
        <v>236</v>
      </c>
      <c r="C54" s="4"/>
      <c r="D54" s="4"/>
      <c r="E54" s="4"/>
      <c r="F54" s="4"/>
      <c r="G54" s="4"/>
    </row>
    <row r="55" ht="15.75" customHeight="1">
      <c r="A55" s="5" t="s">
        <v>237</v>
      </c>
      <c r="B55" s="5" t="s">
        <v>238</v>
      </c>
      <c r="C55" s="6" t="s">
        <v>46</v>
      </c>
      <c r="D55" s="5" t="s">
        <v>239</v>
      </c>
      <c r="E55" s="5" t="s">
        <v>240</v>
      </c>
      <c r="F55" s="5"/>
      <c r="G55" s="5"/>
    </row>
    <row r="56" ht="15.75" customHeight="1">
      <c r="A56" s="5" t="s">
        <v>241</v>
      </c>
      <c r="B56" s="5" t="s">
        <v>242</v>
      </c>
      <c r="C56" s="6" t="s">
        <v>46</v>
      </c>
      <c r="D56" s="5" t="s">
        <v>243</v>
      </c>
      <c r="E56" s="5" t="s">
        <v>107</v>
      </c>
      <c r="F56" s="5"/>
      <c r="G56" s="5"/>
    </row>
    <row r="57" ht="15.75" customHeight="1">
      <c r="A57" s="5" t="s">
        <v>244</v>
      </c>
      <c r="B57" s="5" t="s">
        <v>245</v>
      </c>
      <c r="C57" s="6" t="s">
        <v>46</v>
      </c>
      <c r="D57" s="5" t="s">
        <v>246</v>
      </c>
      <c r="E57" s="5" t="s">
        <v>240</v>
      </c>
      <c r="F57" s="5"/>
      <c r="G57" s="5"/>
    </row>
    <row r="58" ht="15.75" customHeight="1">
      <c r="A58" s="5" t="s">
        <v>247</v>
      </c>
      <c r="B58" s="5" t="s">
        <v>248</v>
      </c>
      <c r="C58" s="6" t="s">
        <v>46</v>
      </c>
      <c r="D58" s="5" t="s">
        <v>210</v>
      </c>
      <c r="E58" s="5" t="s">
        <v>249</v>
      </c>
      <c r="F58" s="5"/>
      <c r="G58" s="5"/>
    </row>
    <row r="59" ht="15.75" customHeight="1">
      <c r="A59" s="5" t="s">
        <v>250</v>
      </c>
      <c r="B59" s="5" t="s">
        <v>251</v>
      </c>
      <c r="C59" s="6" t="s">
        <v>46</v>
      </c>
      <c r="D59" s="5" t="s">
        <v>252</v>
      </c>
      <c r="E59" s="5" t="s">
        <v>253</v>
      </c>
      <c r="F59" s="5"/>
      <c r="G59" s="5"/>
    </row>
    <row r="60" ht="15.75" customHeight="1">
      <c r="A60" s="5" t="s">
        <v>254</v>
      </c>
      <c r="B60" s="5" t="s">
        <v>255</v>
      </c>
      <c r="C60" s="6" t="s">
        <v>46</v>
      </c>
      <c r="D60" s="5" t="s">
        <v>256</v>
      </c>
      <c r="E60" s="5" t="s">
        <v>257</v>
      </c>
      <c r="F60" s="5"/>
      <c r="G60" s="5"/>
    </row>
    <row r="61" ht="15.75" customHeight="1">
      <c r="A61" s="5" t="s">
        <v>258</v>
      </c>
      <c r="B61" s="5" t="s">
        <v>259</v>
      </c>
      <c r="C61" s="8" t="s">
        <v>179</v>
      </c>
      <c r="D61" s="5" t="s">
        <v>260</v>
      </c>
      <c r="E61" s="5" t="s">
        <v>42</v>
      </c>
      <c r="F61" s="5" t="s">
        <v>261</v>
      </c>
      <c r="G61" s="5"/>
    </row>
    <row r="62" ht="15.75" customHeight="1">
      <c r="A62" s="5" t="s">
        <v>262</v>
      </c>
      <c r="B62" s="5" t="s">
        <v>263</v>
      </c>
      <c r="C62" s="6" t="s">
        <v>46</v>
      </c>
      <c r="D62" s="5" t="s">
        <v>264</v>
      </c>
      <c r="E62" s="5" t="s">
        <v>265</v>
      </c>
      <c r="F62" s="5"/>
      <c r="G62" s="5"/>
    </row>
    <row r="63" ht="15.75" customHeight="1">
      <c r="A63" s="5" t="s">
        <v>266</v>
      </c>
      <c r="B63" s="5" t="s">
        <v>267</v>
      </c>
      <c r="C63" s="7" t="s">
        <v>55</v>
      </c>
      <c r="D63" s="5" t="s">
        <v>268</v>
      </c>
      <c r="E63" s="5" t="s">
        <v>89</v>
      </c>
      <c r="F63" s="5" t="s">
        <v>97</v>
      </c>
      <c r="G63" s="5"/>
    </row>
    <row r="64" ht="15.75" customHeight="1">
      <c r="A64" s="5" t="s">
        <v>269</v>
      </c>
      <c r="B64" s="5" t="s">
        <v>270</v>
      </c>
      <c r="C64" s="6" t="s">
        <v>46</v>
      </c>
      <c r="D64" s="5" t="s">
        <v>271</v>
      </c>
      <c r="E64" s="5" t="s">
        <v>265</v>
      </c>
      <c r="F64" s="5"/>
      <c r="G64" s="5"/>
    </row>
    <row r="65" ht="15.75" customHeight="1">
      <c r="A65" s="4" t="s">
        <v>42</v>
      </c>
      <c r="B65" s="4" t="s">
        <v>272</v>
      </c>
      <c r="C65" s="4"/>
      <c r="D65" s="4"/>
      <c r="E65" s="4"/>
      <c r="F65" s="4"/>
      <c r="G65" s="4"/>
    </row>
    <row r="66" ht="15.75" customHeight="1">
      <c r="A66" s="5" t="s">
        <v>273</v>
      </c>
      <c r="B66" s="5" t="s">
        <v>274</v>
      </c>
      <c r="C66" s="6" t="s">
        <v>46</v>
      </c>
      <c r="D66" s="5" t="s">
        <v>275</v>
      </c>
      <c r="E66" s="5" t="s">
        <v>276</v>
      </c>
      <c r="F66" s="5"/>
      <c r="G66" s="5"/>
    </row>
    <row r="67" ht="15.75" customHeight="1">
      <c r="A67" s="5" t="s">
        <v>277</v>
      </c>
      <c r="B67" s="5" t="s">
        <v>278</v>
      </c>
      <c r="C67" s="6" t="s">
        <v>46</v>
      </c>
      <c r="D67" s="5" t="s">
        <v>279</v>
      </c>
      <c r="E67" s="5" t="s">
        <v>276</v>
      </c>
      <c r="F67" s="5"/>
      <c r="G67" s="5"/>
    </row>
    <row r="68" ht="15.75" customHeight="1">
      <c r="A68" s="5" t="s">
        <v>280</v>
      </c>
      <c r="B68" s="5" t="s">
        <v>281</v>
      </c>
      <c r="C68" s="6" t="s">
        <v>46</v>
      </c>
      <c r="D68" s="5" t="s">
        <v>279</v>
      </c>
      <c r="E68" s="5" t="s">
        <v>276</v>
      </c>
      <c r="F68" s="5"/>
      <c r="G68" s="5"/>
    </row>
    <row r="69" ht="15.75" customHeight="1">
      <c r="A69" s="5" t="s">
        <v>282</v>
      </c>
      <c r="B69" s="5" t="s">
        <v>283</v>
      </c>
      <c r="C69" s="6" t="s">
        <v>46</v>
      </c>
      <c r="D69" s="5" t="s">
        <v>284</v>
      </c>
      <c r="E69" s="5" t="s">
        <v>276</v>
      </c>
      <c r="F69" s="5"/>
      <c r="G69" s="5"/>
    </row>
    <row r="70" ht="15.75" customHeight="1">
      <c r="A70" s="5" t="s">
        <v>285</v>
      </c>
      <c r="B70" s="5" t="s">
        <v>286</v>
      </c>
      <c r="C70" s="6" t="s">
        <v>46</v>
      </c>
      <c r="D70" s="5" t="s">
        <v>287</v>
      </c>
      <c r="E70" s="5" t="s">
        <v>288</v>
      </c>
      <c r="F70" s="5"/>
      <c r="G70" s="5"/>
    </row>
    <row r="71" ht="15.75" customHeight="1">
      <c r="A71" s="5" t="s">
        <v>289</v>
      </c>
      <c r="B71" s="5" t="s">
        <v>290</v>
      </c>
      <c r="C71" s="6" t="s">
        <v>46</v>
      </c>
      <c r="D71" s="5" t="s">
        <v>291</v>
      </c>
      <c r="E71" s="5" t="s">
        <v>292</v>
      </c>
      <c r="F71" s="5"/>
      <c r="G71" s="5"/>
    </row>
    <row r="72" ht="15.75" customHeight="1">
      <c r="A72" s="5" t="s">
        <v>293</v>
      </c>
      <c r="B72" s="5" t="s">
        <v>294</v>
      </c>
      <c r="C72" s="6" t="s">
        <v>46</v>
      </c>
      <c r="D72" s="5" t="s">
        <v>295</v>
      </c>
      <c r="E72" s="5" t="s">
        <v>292</v>
      </c>
      <c r="F72" s="5"/>
      <c r="G72" s="5"/>
    </row>
    <row r="73" ht="15.75" customHeight="1">
      <c r="A73" s="5" t="s">
        <v>296</v>
      </c>
      <c r="B73" s="5" t="s">
        <v>297</v>
      </c>
      <c r="C73" s="6" t="s">
        <v>46</v>
      </c>
      <c r="D73" s="5" t="s">
        <v>298</v>
      </c>
      <c r="E73" s="5" t="s">
        <v>299</v>
      </c>
      <c r="F73" s="5"/>
      <c r="G73" s="5"/>
    </row>
    <row r="74" ht="15.75" customHeight="1">
      <c r="A74" s="5" t="s">
        <v>300</v>
      </c>
      <c r="B74" s="5" t="s">
        <v>301</v>
      </c>
      <c r="C74" s="8" t="s">
        <v>179</v>
      </c>
      <c r="D74" s="5" t="s">
        <v>302</v>
      </c>
      <c r="E74" s="5" t="s">
        <v>42</v>
      </c>
      <c r="F74" s="5" t="s">
        <v>303</v>
      </c>
      <c r="G74" s="5"/>
    </row>
    <row r="75" ht="15.75" customHeight="1">
      <c r="A75" s="5" t="s">
        <v>304</v>
      </c>
      <c r="B75" s="5" t="s">
        <v>305</v>
      </c>
      <c r="C75" s="6" t="s">
        <v>46</v>
      </c>
      <c r="D75" s="5" t="s">
        <v>306</v>
      </c>
      <c r="E75" s="5" t="s">
        <v>299</v>
      </c>
      <c r="F75" s="5"/>
      <c r="G75" s="5"/>
    </row>
    <row r="76" ht="15.75" customHeight="1">
      <c r="A76" s="5" t="s">
        <v>307</v>
      </c>
      <c r="B76" s="5" t="s">
        <v>308</v>
      </c>
      <c r="C76" s="6" t="s">
        <v>46</v>
      </c>
      <c r="D76" s="5" t="s">
        <v>309</v>
      </c>
      <c r="E76" s="5" t="s">
        <v>299</v>
      </c>
      <c r="F76" s="5"/>
      <c r="G76" s="5"/>
    </row>
    <row r="77" ht="15.75" customHeight="1">
      <c r="A77" s="5" t="s">
        <v>310</v>
      </c>
      <c r="B77" s="5" t="s">
        <v>311</v>
      </c>
      <c r="C77" s="6" t="s">
        <v>46</v>
      </c>
      <c r="D77" s="5" t="s">
        <v>312</v>
      </c>
      <c r="E77" s="5" t="s">
        <v>313</v>
      </c>
      <c r="F77" s="5"/>
      <c r="G77" s="5"/>
    </row>
    <row r="78" ht="15.75" customHeight="1">
      <c r="A78" s="5" t="s">
        <v>314</v>
      </c>
      <c r="B78" s="5" t="s">
        <v>315</v>
      </c>
      <c r="C78" s="6" t="s">
        <v>46</v>
      </c>
      <c r="D78" s="5" t="s">
        <v>316</v>
      </c>
      <c r="E78" s="5" t="s">
        <v>67</v>
      </c>
      <c r="F78" s="5"/>
      <c r="G78" s="5"/>
    </row>
    <row r="79" ht="15.75" customHeight="1">
      <c r="A79" s="5" t="s">
        <v>317</v>
      </c>
      <c r="B79" s="5" t="s">
        <v>318</v>
      </c>
      <c r="C79" s="6" t="s">
        <v>46</v>
      </c>
      <c r="D79" s="5" t="s">
        <v>319</v>
      </c>
      <c r="E79" s="5" t="s">
        <v>57</v>
      </c>
      <c r="F79" s="5"/>
      <c r="G79" s="5"/>
    </row>
    <row r="80" ht="15.75" customHeight="1">
      <c r="A80" s="4" t="s">
        <v>42</v>
      </c>
      <c r="B80" s="4" t="s">
        <v>320</v>
      </c>
      <c r="C80" s="4"/>
      <c r="D80" s="4"/>
      <c r="E80" s="4"/>
      <c r="F80" s="4"/>
      <c r="G80" s="4"/>
    </row>
    <row r="81" ht="15.75" customHeight="1">
      <c r="A81" s="5" t="s">
        <v>321</v>
      </c>
      <c r="B81" s="5" t="s">
        <v>322</v>
      </c>
      <c r="C81" s="6" t="s">
        <v>46</v>
      </c>
      <c r="D81" s="5" t="s">
        <v>323</v>
      </c>
      <c r="E81" s="5" t="s">
        <v>324</v>
      </c>
      <c r="F81" s="5"/>
      <c r="G81" s="5"/>
    </row>
    <row r="82" ht="15.75" customHeight="1">
      <c r="A82" s="5" t="s">
        <v>325</v>
      </c>
      <c r="B82" s="5" t="s">
        <v>326</v>
      </c>
      <c r="C82" s="6" t="s">
        <v>46</v>
      </c>
      <c r="D82" s="5" t="s">
        <v>279</v>
      </c>
      <c r="E82" s="5" t="s">
        <v>324</v>
      </c>
      <c r="F82" s="5"/>
      <c r="G82" s="5"/>
    </row>
    <row r="83" ht="15.75" customHeight="1">
      <c r="A83" s="5" t="s">
        <v>327</v>
      </c>
      <c r="B83" s="5" t="s">
        <v>328</v>
      </c>
      <c r="C83" s="6" t="s">
        <v>46</v>
      </c>
      <c r="D83" s="5" t="s">
        <v>279</v>
      </c>
      <c r="E83" s="5" t="s">
        <v>324</v>
      </c>
      <c r="F83" s="5"/>
      <c r="G83" s="5"/>
    </row>
    <row r="84" ht="15.75" customHeight="1">
      <c r="A84" s="5" t="s">
        <v>329</v>
      </c>
      <c r="B84" s="5" t="s">
        <v>330</v>
      </c>
      <c r="C84" s="8" t="s">
        <v>179</v>
      </c>
      <c r="D84" s="5" t="s">
        <v>331</v>
      </c>
      <c r="E84" s="5" t="s">
        <v>42</v>
      </c>
      <c r="F84" s="5" t="s">
        <v>332</v>
      </c>
      <c r="G84" s="5"/>
    </row>
    <row r="85" ht="15.75" customHeight="1">
      <c r="A85" s="5" t="s">
        <v>333</v>
      </c>
      <c r="B85" s="5" t="s">
        <v>334</v>
      </c>
      <c r="C85" s="6" t="s">
        <v>46</v>
      </c>
      <c r="D85" s="5" t="s">
        <v>335</v>
      </c>
      <c r="E85" s="5" t="s">
        <v>336</v>
      </c>
      <c r="F85" s="5"/>
      <c r="G85" s="5"/>
    </row>
    <row r="86" ht="15.75" customHeight="1">
      <c r="A86" s="5" t="s">
        <v>337</v>
      </c>
      <c r="B86" s="5" t="s">
        <v>338</v>
      </c>
      <c r="C86" s="6" t="s">
        <v>46</v>
      </c>
      <c r="D86" s="5" t="s">
        <v>339</v>
      </c>
      <c r="E86" s="5" t="s">
        <v>340</v>
      </c>
      <c r="F86" s="5"/>
      <c r="G86" s="5"/>
    </row>
    <row r="87" ht="15.75" customHeight="1">
      <c r="A87" s="5" t="s">
        <v>341</v>
      </c>
      <c r="B87" s="5" t="s">
        <v>342</v>
      </c>
      <c r="C87" s="6" t="s">
        <v>46</v>
      </c>
      <c r="D87" s="5" t="s">
        <v>343</v>
      </c>
      <c r="E87" s="5" t="s">
        <v>344</v>
      </c>
      <c r="F87" s="5"/>
      <c r="G87" s="5"/>
    </row>
    <row r="88" ht="15.75" customHeight="1">
      <c r="A88" s="5" t="s">
        <v>345</v>
      </c>
      <c r="B88" s="5" t="s">
        <v>346</v>
      </c>
      <c r="C88" s="6" t="s">
        <v>46</v>
      </c>
      <c r="D88" s="5" t="s">
        <v>347</v>
      </c>
      <c r="E88" s="5" t="s">
        <v>344</v>
      </c>
      <c r="F88" s="5"/>
      <c r="G88" s="5"/>
    </row>
    <row r="89" ht="15.75" customHeight="1">
      <c r="A89" s="5" t="s">
        <v>348</v>
      </c>
      <c r="B89" s="5" t="s">
        <v>349</v>
      </c>
      <c r="C89" s="8" t="s">
        <v>179</v>
      </c>
      <c r="D89" s="5" t="s">
        <v>350</v>
      </c>
      <c r="E89" s="5" t="s">
        <v>42</v>
      </c>
      <c r="F89" s="5" t="s">
        <v>332</v>
      </c>
      <c r="G89" s="5"/>
    </row>
    <row r="90" ht="15.75" customHeight="1">
      <c r="A90" s="5" t="s">
        <v>351</v>
      </c>
      <c r="B90" s="5" t="s">
        <v>352</v>
      </c>
      <c r="C90" s="6" t="s">
        <v>46</v>
      </c>
      <c r="D90" s="5" t="s">
        <v>353</v>
      </c>
      <c r="E90" s="5" t="s">
        <v>324</v>
      </c>
      <c r="F90" s="5"/>
      <c r="G90" s="5"/>
    </row>
    <row r="91" ht="15.75" customHeight="1">
      <c r="A91" s="5" t="s">
        <v>354</v>
      </c>
      <c r="B91" s="5" t="s">
        <v>355</v>
      </c>
      <c r="C91" s="6" t="s">
        <v>46</v>
      </c>
      <c r="D91" s="5" t="s">
        <v>356</v>
      </c>
      <c r="E91" s="5" t="s">
        <v>344</v>
      </c>
      <c r="F91" s="5"/>
      <c r="G91" s="5"/>
    </row>
    <row r="92" ht="15.75" customHeight="1">
      <c r="A92" s="5" t="s">
        <v>357</v>
      </c>
      <c r="B92" s="5" t="s">
        <v>358</v>
      </c>
      <c r="C92" s="6" t="s">
        <v>46</v>
      </c>
      <c r="D92" s="5" t="s">
        <v>359</v>
      </c>
      <c r="E92" s="5" t="s">
        <v>340</v>
      </c>
      <c r="F92" s="5"/>
      <c r="G92" s="5"/>
    </row>
    <row r="93" ht="15.75" customHeight="1">
      <c r="A93" s="5" t="s">
        <v>360</v>
      </c>
      <c r="B93" s="5" t="s">
        <v>361</v>
      </c>
      <c r="C93" s="6" t="s">
        <v>46</v>
      </c>
      <c r="D93" s="5" t="s">
        <v>362</v>
      </c>
      <c r="E93" s="5" t="s">
        <v>363</v>
      </c>
      <c r="F93" s="5"/>
      <c r="G93" s="5"/>
    </row>
    <row r="94" ht="15.75" customHeight="1">
      <c r="A94" s="5" t="s">
        <v>364</v>
      </c>
      <c r="B94" s="5" t="s">
        <v>365</v>
      </c>
      <c r="C94" s="6" t="s">
        <v>46</v>
      </c>
      <c r="D94" s="5" t="s">
        <v>366</v>
      </c>
      <c r="E94" s="5" t="s">
        <v>367</v>
      </c>
      <c r="F94" s="5"/>
      <c r="G94" s="5"/>
    </row>
    <row r="95" ht="15.75" customHeight="1">
      <c r="A95" s="5" t="s">
        <v>368</v>
      </c>
      <c r="B95" s="5" t="s">
        <v>369</v>
      </c>
      <c r="C95" s="8" t="s">
        <v>179</v>
      </c>
      <c r="D95" s="5" t="s">
        <v>370</v>
      </c>
      <c r="E95" s="5" t="s">
        <v>42</v>
      </c>
      <c r="F95" s="5" t="s">
        <v>371</v>
      </c>
      <c r="G95" s="5"/>
    </row>
    <row r="96" ht="15.75" customHeight="1">
      <c r="A96" s="5" t="s">
        <v>372</v>
      </c>
      <c r="B96" s="5" t="s">
        <v>373</v>
      </c>
      <c r="C96" s="8" t="s">
        <v>179</v>
      </c>
      <c r="D96" s="5" t="s">
        <v>374</v>
      </c>
      <c r="E96" s="5" t="s">
        <v>42</v>
      </c>
      <c r="F96" s="5" t="s">
        <v>371</v>
      </c>
      <c r="G96" s="5"/>
    </row>
    <row r="97" ht="15.75" customHeight="1">
      <c r="A97" s="5" t="s">
        <v>375</v>
      </c>
      <c r="B97" s="5" t="s">
        <v>376</v>
      </c>
      <c r="C97" s="6" t="s">
        <v>46</v>
      </c>
      <c r="D97" s="5" t="s">
        <v>377</v>
      </c>
      <c r="E97" s="5" t="s">
        <v>324</v>
      </c>
      <c r="F97" s="5"/>
      <c r="G97" s="5"/>
    </row>
    <row r="98" ht="15.75" customHeight="1">
      <c r="A98" s="5" t="s">
        <v>378</v>
      </c>
      <c r="B98" s="5" t="s">
        <v>379</v>
      </c>
      <c r="C98" s="6" t="s">
        <v>46</v>
      </c>
      <c r="D98" s="5" t="s">
        <v>380</v>
      </c>
      <c r="E98" s="5" t="s">
        <v>367</v>
      </c>
      <c r="F98" s="5"/>
      <c r="G98" s="5"/>
    </row>
    <row r="99" ht="15.75" customHeight="1">
      <c r="A99" s="4" t="s">
        <v>42</v>
      </c>
      <c r="B99" s="4" t="s">
        <v>381</v>
      </c>
      <c r="C99" s="4"/>
      <c r="D99" s="4"/>
      <c r="E99" s="4"/>
      <c r="F99" s="4"/>
      <c r="G99" s="4"/>
    </row>
    <row r="100" ht="15.75" customHeight="1">
      <c r="A100" s="5" t="s">
        <v>382</v>
      </c>
      <c r="B100" s="5" t="s">
        <v>383</v>
      </c>
      <c r="C100" s="6" t="s">
        <v>46</v>
      </c>
      <c r="D100" s="5" t="s">
        <v>384</v>
      </c>
      <c r="E100" s="5" t="s">
        <v>57</v>
      </c>
      <c r="F100" s="5"/>
      <c r="G100" s="5"/>
    </row>
    <row r="101" ht="15.75" customHeight="1">
      <c r="A101" s="5" t="s">
        <v>385</v>
      </c>
      <c r="B101" s="5" t="s">
        <v>386</v>
      </c>
      <c r="C101" s="6" t="s">
        <v>46</v>
      </c>
      <c r="D101" s="5" t="s">
        <v>387</v>
      </c>
      <c r="E101" s="5" t="s">
        <v>74</v>
      </c>
      <c r="F101" s="5"/>
      <c r="G101" s="5"/>
    </row>
    <row r="102" ht="15.75" customHeight="1">
      <c r="A102" s="5" t="s">
        <v>388</v>
      </c>
      <c r="B102" s="5" t="s">
        <v>389</v>
      </c>
      <c r="C102" s="7" t="s">
        <v>55</v>
      </c>
      <c r="D102" s="5" t="s">
        <v>390</v>
      </c>
      <c r="E102" s="5" t="s">
        <v>115</v>
      </c>
      <c r="F102" s="5" t="s">
        <v>391</v>
      </c>
      <c r="G102" s="5"/>
    </row>
    <row r="103" ht="15.75" customHeight="1">
      <c r="A103" s="5" t="s">
        <v>392</v>
      </c>
      <c r="B103" s="5" t="s">
        <v>393</v>
      </c>
      <c r="C103" s="7" t="s">
        <v>55</v>
      </c>
      <c r="D103" s="5" t="s">
        <v>394</v>
      </c>
      <c r="E103" s="5" t="s">
        <v>395</v>
      </c>
      <c r="F103" s="5" t="s">
        <v>391</v>
      </c>
      <c r="G103" s="5"/>
    </row>
    <row r="104" ht="15.75" customHeight="1">
      <c r="A104" s="5" t="s">
        <v>396</v>
      </c>
      <c r="B104" s="5" t="s">
        <v>397</v>
      </c>
      <c r="C104" s="6" t="s">
        <v>46</v>
      </c>
      <c r="D104" s="5" t="s">
        <v>398</v>
      </c>
      <c r="E104" s="5" t="s">
        <v>399</v>
      </c>
      <c r="F104" s="5"/>
      <c r="G104" s="5"/>
    </row>
    <row r="105" ht="15.75" customHeight="1">
      <c r="A105" s="5" t="s">
        <v>400</v>
      </c>
      <c r="B105" s="5" t="s">
        <v>401</v>
      </c>
      <c r="C105" s="6" t="s">
        <v>46</v>
      </c>
      <c r="D105" s="5" t="s">
        <v>402</v>
      </c>
      <c r="E105" s="5" t="s">
        <v>403</v>
      </c>
      <c r="F105" s="5"/>
      <c r="G105" s="5"/>
    </row>
    <row r="106" ht="15.75" customHeight="1">
      <c r="A106" s="4" t="s">
        <v>42</v>
      </c>
      <c r="B106" s="4" t="s">
        <v>404</v>
      </c>
      <c r="C106" s="4"/>
      <c r="D106" s="4"/>
      <c r="E106" s="4"/>
      <c r="F106" s="4"/>
      <c r="G106" s="4"/>
    </row>
    <row r="107" ht="15.75" customHeight="1">
      <c r="A107" s="5" t="s">
        <v>405</v>
      </c>
      <c r="B107" s="5" t="s">
        <v>406</v>
      </c>
      <c r="C107" s="6" t="s">
        <v>46</v>
      </c>
      <c r="D107" s="5" t="s">
        <v>407</v>
      </c>
      <c r="E107" s="5" t="s">
        <v>408</v>
      </c>
      <c r="F107" s="5"/>
      <c r="G107" s="5"/>
    </row>
    <row r="108" ht="15.75" customHeight="1">
      <c r="A108" s="5" t="s">
        <v>409</v>
      </c>
      <c r="B108" s="5" t="s">
        <v>410</v>
      </c>
      <c r="C108" s="6" t="s">
        <v>46</v>
      </c>
      <c r="D108" s="5" t="s">
        <v>411</v>
      </c>
      <c r="E108" s="5" t="s">
        <v>412</v>
      </c>
      <c r="F108" s="5"/>
      <c r="G108" s="5" t="s">
        <v>413</v>
      </c>
    </row>
    <row r="109" ht="15.75" customHeight="1">
      <c r="A109" s="5" t="s">
        <v>414</v>
      </c>
      <c r="B109" s="5" t="s">
        <v>415</v>
      </c>
      <c r="C109" s="6" t="s">
        <v>46</v>
      </c>
      <c r="D109" s="5" t="s">
        <v>416</v>
      </c>
      <c r="E109" s="5" t="s">
        <v>412</v>
      </c>
      <c r="F109" s="5"/>
      <c r="G109" s="5" t="s">
        <v>413</v>
      </c>
    </row>
    <row r="110" ht="15.75" customHeight="1">
      <c r="A110" s="5" t="s">
        <v>417</v>
      </c>
      <c r="B110" s="5" t="s">
        <v>418</v>
      </c>
      <c r="C110" s="6" t="s">
        <v>46</v>
      </c>
      <c r="D110" s="5" t="s">
        <v>419</v>
      </c>
      <c r="E110" s="5" t="s">
        <v>420</v>
      </c>
      <c r="F110" s="5"/>
      <c r="G110" s="5"/>
    </row>
    <row r="111" ht="15.75" customHeight="1">
      <c r="A111" s="5" t="s">
        <v>421</v>
      </c>
      <c r="B111" s="5" t="s">
        <v>422</v>
      </c>
      <c r="C111" s="6" t="s">
        <v>46</v>
      </c>
      <c r="D111" s="5" t="s">
        <v>423</v>
      </c>
      <c r="E111" s="5" t="s">
        <v>424</v>
      </c>
      <c r="F111" s="5"/>
      <c r="G111" s="5"/>
    </row>
    <row r="112" ht="15.75" customHeight="1"/>
    <row r="113" ht="15.75" customHeight="1">
      <c r="A113" s="9"/>
      <c r="B113" s="9" t="s">
        <v>425</v>
      </c>
      <c r="C113" s="9"/>
      <c r="D113" s="9"/>
      <c r="E113" s="9"/>
      <c r="F113" s="9"/>
      <c r="G113" s="9"/>
    </row>
    <row r="114" ht="15.75" customHeight="1">
      <c r="A114" s="9"/>
      <c r="B114" s="9" t="s">
        <v>426</v>
      </c>
      <c r="C114" s="9" t="s">
        <v>427</v>
      </c>
      <c r="D114" s="9"/>
      <c r="E114" s="9"/>
      <c r="F114" s="9"/>
      <c r="G114" s="9"/>
    </row>
    <row r="115" ht="15.75" customHeight="1">
      <c r="A115" s="9"/>
      <c r="B115" s="9" t="s">
        <v>428</v>
      </c>
      <c r="C115" s="9" t="s">
        <v>429</v>
      </c>
      <c r="D115" s="9"/>
      <c r="E115" s="9"/>
      <c r="F115" s="9"/>
      <c r="G115" s="9"/>
    </row>
    <row r="116" ht="15.75" customHeight="1">
      <c r="A116" s="9"/>
      <c r="B116" s="9" t="s">
        <v>55</v>
      </c>
      <c r="C116" s="9" t="s">
        <v>430</v>
      </c>
      <c r="D116" s="9" t="s">
        <v>431</v>
      </c>
      <c r="E116" s="9"/>
      <c r="F116" s="9"/>
      <c r="G116" s="9"/>
    </row>
    <row r="117" ht="15.75" customHeight="1">
      <c r="A117" s="9"/>
      <c r="B117" s="9" t="s">
        <v>432</v>
      </c>
      <c r="C117" s="9" t="s">
        <v>433</v>
      </c>
      <c r="D117" s="9" t="s">
        <v>434</v>
      </c>
      <c r="E117" s="9"/>
      <c r="F117" s="9"/>
      <c r="G117" s="9"/>
    </row>
    <row r="118" ht="15.75" customHeight="1">
      <c r="A118" s="9"/>
      <c r="B118" s="9" t="s">
        <v>435</v>
      </c>
      <c r="C118" s="9" t="s">
        <v>436</v>
      </c>
      <c r="D118" s="9"/>
      <c r="E118" s="9"/>
      <c r="F118" s="9"/>
      <c r="G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20.0"/>
    <col customWidth="1" min="4" max="4" width="24.0"/>
    <col customWidth="1" min="5" max="5" width="20.0"/>
    <col customWidth="1" min="6" max="6" width="40.0"/>
    <col customWidth="1" min="7" max="7" width="8.0"/>
    <col customWidth="1" min="8" max="8" width="28.0"/>
    <col customWidth="1" min="9" max="9" width="14.0"/>
    <col customWidth="1" min="10" max="10" width="8.0"/>
    <col customWidth="1" min="11" max="26" width="8.71"/>
  </cols>
  <sheetData>
    <row r="1">
      <c r="A1" s="3" t="s">
        <v>437</v>
      </c>
      <c r="B1" s="3" t="s">
        <v>35</v>
      </c>
      <c r="C1" s="3" t="s">
        <v>36</v>
      </c>
      <c r="D1" s="3" t="s">
        <v>438</v>
      </c>
      <c r="E1" s="3" t="s">
        <v>439</v>
      </c>
      <c r="F1" s="3" t="s">
        <v>440</v>
      </c>
      <c r="G1" s="3" t="s">
        <v>441</v>
      </c>
      <c r="H1" s="3" t="s">
        <v>442</v>
      </c>
      <c r="I1" s="3" t="s">
        <v>443</v>
      </c>
      <c r="J1" s="3" t="s">
        <v>444</v>
      </c>
    </row>
    <row r="2" ht="72.0" customHeight="1">
      <c r="A2" s="5" t="s">
        <v>103</v>
      </c>
      <c r="B2" s="5" t="s">
        <v>445</v>
      </c>
      <c r="C2" s="5" t="s">
        <v>446</v>
      </c>
      <c r="D2" s="5" t="s">
        <v>447</v>
      </c>
      <c r="E2" s="5" t="s">
        <v>448</v>
      </c>
      <c r="F2" s="5" t="s">
        <v>449</v>
      </c>
      <c r="G2" s="5" t="s">
        <v>450</v>
      </c>
      <c r="H2" s="5" t="s">
        <v>451</v>
      </c>
      <c r="I2" s="5" t="s">
        <v>452</v>
      </c>
      <c r="J2" s="5"/>
    </row>
    <row r="3" ht="72.0" customHeight="1">
      <c r="A3" s="5" t="s">
        <v>116</v>
      </c>
      <c r="B3" s="5" t="s">
        <v>453</v>
      </c>
      <c r="C3" s="5" t="s">
        <v>454</v>
      </c>
      <c r="D3" s="5" t="s">
        <v>455</v>
      </c>
      <c r="E3" s="5" t="s">
        <v>456</v>
      </c>
      <c r="F3" s="5" t="s">
        <v>457</v>
      </c>
      <c r="G3" s="5" t="s">
        <v>458</v>
      </c>
      <c r="H3" s="5" t="s">
        <v>459</v>
      </c>
      <c r="I3" s="5" t="s">
        <v>460</v>
      </c>
      <c r="J3" s="5"/>
    </row>
    <row r="4" ht="72.0" customHeight="1">
      <c r="A4" s="5" t="s">
        <v>63</v>
      </c>
      <c r="B4" s="5" t="s">
        <v>461</v>
      </c>
      <c r="C4" s="5" t="s">
        <v>462</v>
      </c>
      <c r="D4" s="5" t="s">
        <v>463</v>
      </c>
      <c r="E4" s="5" t="s">
        <v>464</v>
      </c>
      <c r="F4" s="5" t="s">
        <v>465</v>
      </c>
      <c r="G4" s="5" t="s">
        <v>458</v>
      </c>
      <c r="H4" s="5" t="s">
        <v>466</v>
      </c>
      <c r="I4" s="5" t="s">
        <v>467</v>
      </c>
      <c r="J4" s="5"/>
    </row>
    <row r="5" ht="72.0" customHeight="1">
      <c r="A5" s="5" t="s">
        <v>58</v>
      </c>
      <c r="B5" s="5" t="s">
        <v>468</v>
      </c>
      <c r="C5" s="5" t="s">
        <v>469</v>
      </c>
      <c r="D5" s="5" t="s">
        <v>470</v>
      </c>
      <c r="E5" s="5" t="s">
        <v>471</v>
      </c>
      <c r="F5" s="5" t="s">
        <v>472</v>
      </c>
      <c r="G5" s="5" t="s">
        <v>450</v>
      </c>
      <c r="H5" s="5" t="s">
        <v>473</v>
      </c>
      <c r="I5" s="5" t="s">
        <v>474</v>
      </c>
      <c r="J5" s="5"/>
    </row>
    <row r="6" ht="72.0" customHeight="1">
      <c r="A6" s="5" t="s">
        <v>97</v>
      </c>
      <c r="B6" s="5" t="s">
        <v>475</v>
      </c>
      <c r="C6" s="5" t="s">
        <v>476</v>
      </c>
      <c r="D6" s="5" t="s">
        <v>477</v>
      </c>
      <c r="E6" s="5" t="s">
        <v>478</v>
      </c>
      <c r="F6" s="5" t="s">
        <v>479</v>
      </c>
      <c r="G6" s="5" t="s">
        <v>450</v>
      </c>
      <c r="H6" s="5" t="s">
        <v>480</v>
      </c>
      <c r="I6" s="5" t="s">
        <v>481</v>
      </c>
      <c r="J6" s="5"/>
    </row>
    <row r="7" ht="72.0" customHeight="1">
      <c r="A7" s="5" t="s">
        <v>154</v>
      </c>
      <c r="B7" s="5" t="s">
        <v>150</v>
      </c>
      <c r="C7" s="5" t="s">
        <v>151</v>
      </c>
      <c r="D7" s="5" t="s">
        <v>482</v>
      </c>
      <c r="E7" s="5" t="s">
        <v>483</v>
      </c>
      <c r="F7" s="5" t="s">
        <v>484</v>
      </c>
      <c r="G7" s="5" t="s">
        <v>458</v>
      </c>
      <c r="H7" s="5" t="s">
        <v>485</v>
      </c>
      <c r="I7" s="5" t="s">
        <v>474</v>
      </c>
      <c r="J7" s="5"/>
    </row>
    <row r="8" ht="72.0" customHeight="1">
      <c r="A8" s="5" t="s">
        <v>181</v>
      </c>
      <c r="B8" s="5" t="s">
        <v>177</v>
      </c>
      <c r="C8" s="5" t="s">
        <v>178</v>
      </c>
      <c r="D8" s="5" t="s">
        <v>486</v>
      </c>
      <c r="E8" s="5" t="s">
        <v>487</v>
      </c>
      <c r="F8" s="5" t="s">
        <v>488</v>
      </c>
      <c r="G8" s="5" t="s">
        <v>458</v>
      </c>
      <c r="H8" s="5" t="s">
        <v>489</v>
      </c>
      <c r="I8" s="5" t="s">
        <v>490</v>
      </c>
      <c r="J8" s="5"/>
    </row>
    <row r="9" ht="72.0" customHeight="1">
      <c r="A9" s="5" t="s">
        <v>219</v>
      </c>
      <c r="B9" s="5" t="s">
        <v>491</v>
      </c>
      <c r="C9" s="5" t="s">
        <v>492</v>
      </c>
      <c r="D9" s="5" t="s">
        <v>493</v>
      </c>
      <c r="E9" s="5" t="s">
        <v>487</v>
      </c>
      <c r="F9" s="5" t="s">
        <v>494</v>
      </c>
      <c r="G9" s="5" t="s">
        <v>458</v>
      </c>
      <c r="H9" s="5" t="s">
        <v>495</v>
      </c>
      <c r="I9" s="5" t="s">
        <v>474</v>
      </c>
      <c r="J9" s="5"/>
    </row>
    <row r="10" ht="72.0" customHeight="1">
      <c r="A10" s="5" t="s">
        <v>229</v>
      </c>
      <c r="B10" s="5" t="s">
        <v>496</v>
      </c>
      <c r="C10" s="5" t="s">
        <v>497</v>
      </c>
      <c r="D10" s="5" t="s">
        <v>498</v>
      </c>
      <c r="E10" s="5" t="s">
        <v>487</v>
      </c>
      <c r="F10" s="5" t="s">
        <v>499</v>
      </c>
      <c r="G10" s="5" t="s">
        <v>450</v>
      </c>
      <c r="H10" s="5" t="s">
        <v>500</v>
      </c>
      <c r="I10" s="5" t="s">
        <v>474</v>
      </c>
      <c r="J10" s="5"/>
    </row>
    <row r="11" ht="72.0" customHeight="1">
      <c r="A11" s="5" t="s">
        <v>261</v>
      </c>
      <c r="B11" s="5" t="s">
        <v>258</v>
      </c>
      <c r="C11" s="5" t="s">
        <v>259</v>
      </c>
      <c r="D11" s="5" t="s">
        <v>501</v>
      </c>
      <c r="E11" s="5" t="s">
        <v>487</v>
      </c>
      <c r="F11" s="5" t="s">
        <v>502</v>
      </c>
      <c r="G11" s="5" t="s">
        <v>458</v>
      </c>
      <c r="H11" s="5" t="s">
        <v>503</v>
      </c>
      <c r="I11" s="5" t="s">
        <v>467</v>
      </c>
      <c r="J11" s="5"/>
    </row>
    <row r="12" ht="72.0" customHeight="1">
      <c r="A12" s="5" t="s">
        <v>303</v>
      </c>
      <c r="B12" s="5" t="s">
        <v>300</v>
      </c>
      <c r="C12" s="5" t="s">
        <v>301</v>
      </c>
      <c r="D12" s="5" t="s">
        <v>504</v>
      </c>
      <c r="E12" s="5" t="s">
        <v>487</v>
      </c>
      <c r="F12" s="5" t="s">
        <v>505</v>
      </c>
      <c r="G12" s="5" t="s">
        <v>458</v>
      </c>
      <c r="H12" s="5" t="s">
        <v>506</v>
      </c>
      <c r="I12" s="5" t="s">
        <v>490</v>
      </c>
      <c r="J12" s="5"/>
    </row>
    <row r="13" ht="72.0" customHeight="1">
      <c r="A13" s="5" t="s">
        <v>332</v>
      </c>
      <c r="B13" s="5" t="s">
        <v>507</v>
      </c>
      <c r="C13" s="5" t="s">
        <v>508</v>
      </c>
      <c r="D13" s="5" t="s">
        <v>509</v>
      </c>
      <c r="E13" s="5" t="s">
        <v>487</v>
      </c>
      <c r="F13" s="5" t="s">
        <v>510</v>
      </c>
      <c r="G13" s="5" t="s">
        <v>450</v>
      </c>
      <c r="H13" s="5" t="s">
        <v>511</v>
      </c>
      <c r="I13" s="5" t="s">
        <v>512</v>
      </c>
      <c r="J13" s="5"/>
    </row>
    <row r="14" ht="72.0" customHeight="1">
      <c r="A14" s="5" t="s">
        <v>371</v>
      </c>
      <c r="B14" s="5" t="s">
        <v>513</v>
      </c>
      <c r="C14" s="5" t="s">
        <v>514</v>
      </c>
      <c r="D14" s="5" t="s">
        <v>515</v>
      </c>
      <c r="E14" s="5" t="s">
        <v>487</v>
      </c>
      <c r="F14" s="5" t="s">
        <v>516</v>
      </c>
      <c r="G14" s="5" t="s">
        <v>458</v>
      </c>
      <c r="H14" s="5" t="s">
        <v>517</v>
      </c>
      <c r="I14" s="5" t="s">
        <v>512</v>
      </c>
      <c r="J14" s="5"/>
    </row>
    <row r="15" ht="72.0" customHeight="1">
      <c r="A15" s="5" t="s">
        <v>391</v>
      </c>
      <c r="B15" s="5" t="s">
        <v>518</v>
      </c>
      <c r="C15" s="5" t="s">
        <v>519</v>
      </c>
      <c r="D15" s="5" t="s">
        <v>520</v>
      </c>
      <c r="E15" s="5" t="s">
        <v>521</v>
      </c>
      <c r="F15" s="5" t="s">
        <v>522</v>
      </c>
      <c r="G15" s="5" t="s">
        <v>458</v>
      </c>
      <c r="H15" s="5" t="s">
        <v>523</v>
      </c>
      <c r="I15" s="5" t="s">
        <v>467</v>
      </c>
      <c r="J15" s="5"/>
    </row>
    <row r="18">
      <c r="A18" s="10" t="s">
        <v>524</v>
      </c>
    </row>
    <row r="19">
      <c r="A19" s="11" t="s">
        <v>525</v>
      </c>
      <c r="B19" s="11" t="s">
        <v>526</v>
      </c>
      <c r="C19" s="11" t="s">
        <v>527</v>
      </c>
      <c r="D19" s="11" t="s">
        <v>528</v>
      </c>
    </row>
    <row r="20">
      <c r="A20" s="12"/>
      <c r="B20" s="12" t="s">
        <v>529</v>
      </c>
      <c r="C20" s="12"/>
      <c r="D20" s="12"/>
    </row>
    <row r="21" ht="15.75" customHeight="1">
      <c r="A21" s="12"/>
      <c r="B21" s="12" t="s">
        <v>530</v>
      </c>
      <c r="C21" s="12"/>
      <c r="D21" s="12"/>
    </row>
    <row r="22" ht="15.75" customHeight="1">
      <c r="A22" s="12"/>
      <c r="B22" s="12" t="s">
        <v>531</v>
      </c>
      <c r="C22" s="12"/>
      <c r="D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8.0"/>
    <col customWidth="1" min="3" max="3" width="22.0"/>
    <col customWidth="1" min="4" max="4" width="28.0"/>
    <col customWidth="1" min="5" max="5" width="50.0"/>
    <col customWidth="1" min="6" max="6" width="7.0"/>
    <col customWidth="1" min="7" max="7" width="12.0"/>
    <col customWidth="1" min="8" max="8" width="20.0"/>
    <col customWidth="1" min="9" max="9" width="28.0"/>
    <col customWidth="1" min="10" max="10" width="8.0"/>
    <col customWidth="1" min="11" max="26" width="8.71"/>
  </cols>
  <sheetData>
    <row r="1">
      <c r="A1" s="3" t="s">
        <v>532</v>
      </c>
      <c r="B1" s="3" t="s">
        <v>533</v>
      </c>
      <c r="C1" s="3" t="s">
        <v>534</v>
      </c>
      <c r="D1" s="3" t="s">
        <v>535</v>
      </c>
      <c r="E1" s="3" t="s">
        <v>536</v>
      </c>
      <c r="F1" s="3" t="s">
        <v>537</v>
      </c>
      <c r="G1" s="3" t="s">
        <v>538</v>
      </c>
      <c r="H1" s="3" t="s">
        <v>539</v>
      </c>
      <c r="I1" s="3" t="s">
        <v>41</v>
      </c>
      <c r="J1" s="3" t="s">
        <v>540</v>
      </c>
    </row>
    <row r="2">
      <c r="A2" s="13" t="s">
        <v>541</v>
      </c>
      <c r="B2" s="13" t="s">
        <v>542</v>
      </c>
      <c r="C2" s="13"/>
      <c r="D2" s="13"/>
      <c r="E2" s="13"/>
      <c r="F2" s="13"/>
      <c r="G2" s="13"/>
      <c r="H2" s="13"/>
      <c r="I2" s="13"/>
      <c r="J2" s="13"/>
    </row>
    <row r="3">
      <c r="A3" s="14" t="s">
        <v>543</v>
      </c>
      <c r="B3" s="14"/>
      <c r="C3" s="14" t="s">
        <v>544</v>
      </c>
      <c r="D3" s="14"/>
      <c r="E3" s="14"/>
      <c r="F3" s="14"/>
      <c r="G3" s="14"/>
      <c r="H3" s="14"/>
      <c r="I3" s="14"/>
      <c r="J3" s="14" t="s">
        <v>545</v>
      </c>
    </row>
    <row r="4">
      <c r="A4" s="5" t="s">
        <v>546</v>
      </c>
      <c r="B4" s="5"/>
      <c r="C4" s="5"/>
      <c r="D4" s="5" t="s">
        <v>547</v>
      </c>
      <c r="E4" s="5" t="s">
        <v>548</v>
      </c>
      <c r="F4" s="5">
        <v>2.0</v>
      </c>
      <c r="G4" s="5" t="s">
        <v>549</v>
      </c>
      <c r="H4" s="5" t="s">
        <v>550</v>
      </c>
      <c r="I4" s="5"/>
      <c r="J4" s="5" t="s">
        <v>545</v>
      </c>
    </row>
    <row r="5">
      <c r="A5" s="5" t="s">
        <v>551</v>
      </c>
      <c r="B5" s="5"/>
      <c r="C5" s="5"/>
      <c r="D5" s="5" t="s">
        <v>552</v>
      </c>
      <c r="E5" s="5" t="s">
        <v>553</v>
      </c>
      <c r="F5" s="5">
        <v>1.0</v>
      </c>
      <c r="G5" s="5" t="s">
        <v>549</v>
      </c>
      <c r="H5" s="5" t="s">
        <v>554</v>
      </c>
      <c r="I5" s="5"/>
      <c r="J5" s="5" t="s">
        <v>545</v>
      </c>
    </row>
    <row r="6">
      <c r="A6" s="5" t="s">
        <v>555</v>
      </c>
      <c r="B6" s="5"/>
      <c r="C6" s="5"/>
      <c r="D6" s="5" t="s">
        <v>556</v>
      </c>
      <c r="E6" s="5" t="s">
        <v>557</v>
      </c>
      <c r="F6" s="5">
        <v>3.0</v>
      </c>
      <c r="G6" s="5" t="s">
        <v>558</v>
      </c>
      <c r="H6" s="5" t="s">
        <v>559</v>
      </c>
      <c r="I6" s="5"/>
      <c r="J6" s="5" t="s">
        <v>545</v>
      </c>
    </row>
    <row r="7">
      <c r="A7" s="5" t="s">
        <v>560</v>
      </c>
      <c r="B7" s="5"/>
      <c r="C7" s="5"/>
      <c r="D7" s="5" t="s">
        <v>561</v>
      </c>
      <c r="E7" s="5" t="s">
        <v>562</v>
      </c>
      <c r="F7" s="5">
        <v>1.0</v>
      </c>
      <c r="G7" s="5" t="s">
        <v>549</v>
      </c>
      <c r="H7" s="5" t="s">
        <v>563</v>
      </c>
      <c r="I7" s="5"/>
      <c r="J7" s="5" t="s">
        <v>545</v>
      </c>
    </row>
    <row r="8">
      <c r="A8" s="5" t="s">
        <v>564</v>
      </c>
      <c r="B8" s="5"/>
      <c r="C8" s="5"/>
      <c r="D8" s="5" t="s">
        <v>565</v>
      </c>
      <c r="E8" s="5" t="s">
        <v>566</v>
      </c>
      <c r="F8" s="5">
        <v>1.0</v>
      </c>
      <c r="G8" s="5" t="s">
        <v>558</v>
      </c>
      <c r="H8" s="5" t="s">
        <v>567</v>
      </c>
      <c r="I8" s="5"/>
      <c r="J8" s="5" t="s">
        <v>545</v>
      </c>
    </row>
    <row r="9">
      <c r="A9" s="5" t="s">
        <v>568</v>
      </c>
      <c r="B9" s="5"/>
      <c r="C9" s="5"/>
      <c r="D9" s="5" t="s">
        <v>569</v>
      </c>
      <c r="E9" s="5" t="s">
        <v>570</v>
      </c>
      <c r="F9" s="5">
        <v>1.0</v>
      </c>
      <c r="G9" s="5" t="s">
        <v>549</v>
      </c>
      <c r="H9" s="5" t="s">
        <v>571</v>
      </c>
      <c r="I9" s="5"/>
      <c r="J9" s="5" t="s">
        <v>545</v>
      </c>
    </row>
    <row r="10">
      <c r="A10" s="14" t="s">
        <v>572</v>
      </c>
      <c r="B10" s="14"/>
      <c r="C10" s="14" t="s">
        <v>573</v>
      </c>
      <c r="D10" s="14"/>
      <c r="E10" s="14"/>
      <c r="F10" s="14"/>
      <c r="G10" s="14"/>
      <c r="H10" s="14"/>
      <c r="I10" s="14"/>
      <c r="J10" s="14" t="s">
        <v>545</v>
      </c>
    </row>
    <row r="11">
      <c r="A11" s="5" t="s">
        <v>574</v>
      </c>
      <c r="B11" s="5"/>
      <c r="C11" s="5"/>
      <c r="D11" s="5" t="s">
        <v>575</v>
      </c>
      <c r="E11" s="5" t="s">
        <v>576</v>
      </c>
      <c r="F11" s="5">
        <v>3.0</v>
      </c>
      <c r="G11" s="5" t="s">
        <v>558</v>
      </c>
      <c r="H11" s="5" t="s">
        <v>577</v>
      </c>
      <c r="I11" s="5"/>
      <c r="J11" s="5" t="s">
        <v>545</v>
      </c>
    </row>
    <row r="12">
      <c r="A12" s="5" t="s">
        <v>578</v>
      </c>
      <c r="B12" s="5"/>
      <c r="C12" s="5"/>
      <c r="D12" s="5" t="s">
        <v>579</v>
      </c>
      <c r="E12" s="5" t="s">
        <v>580</v>
      </c>
      <c r="F12" s="5">
        <v>1.0</v>
      </c>
      <c r="G12" s="5" t="s">
        <v>558</v>
      </c>
      <c r="H12" s="5" t="s">
        <v>581</v>
      </c>
      <c r="I12" s="5"/>
      <c r="J12" s="5" t="s">
        <v>545</v>
      </c>
    </row>
    <row r="13">
      <c r="A13" s="5" t="s">
        <v>582</v>
      </c>
      <c r="B13" s="5"/>
      <c r="C13" s="5"/>
      <c r="D13" s="5" t="s">
        <v>583</v>
      </c>
      <c r="E13" s="5" t="s">
        <v>584</v>
      </c>
      <c r="F13" s="5">
        <v>1.0</v>
      </c>
      <c r="G13" s="5" t="s">
        <v>558</v>
      </c>
      <c r="H13" s="5" t="s">
        <v>585</v>
      </c>
      <c r="I13" s="5"/>
      <c r="J13" s="5" t="s">
        <v>545</v>
      </c>
    </row>
    <row r="14">
      <c r="A14" s="14" t="s">
        <v>586</v>
      </c>
      <c r="B14" s="14"/>
      <c r="C14" s="14" t="s">
        <v>587</v>
      </c>
      <c r="D14" s="14"/>
      <c r="E14" s="14"/>
      <c r="F14" s="14"/>
      <c r="G14" s="14"/>
      <c r="H14" s="14"/>
      <c r="I14" s="14"/>
      <c r="J14" s="14" t="s">
        <v>545</v>
      </c>
    </row>
    <row r="15">
      <c r="A15" s="5" t="s">
        <v>588</v>
      </c>
      <c r="B15" s="5"/>
      <c r="C15" s="5"/>
      <c r="D15" s="5" t="s">
        <v>589</v>
      </c>
      <c r="E15" s="5" t="s">
        <v>590</v>
      </c>
      <c r="F15" s="5">
        <v>1.0</v>
      </c>
      <c r="G15" s="5" t="s">
        <v>591</v>
      </c>
      <c r="H15" s="5" t="s">
        <v>592</v>
      </c>
      <c r="I15" s="5"/>
      <c r="J15" s="5" t="s">
        <v>545</v>
      </c>
    </row>
    <row r="16">
      <c r="A16" s="5" t="s">
        <v>593</v>
      </c>
      <c r="B16" s="5"/>
      <c r="C16" s="5"/>
      <c r="D16" s="5" t="s">
        <v>594</v>
      </c>
      <c r="E16" s="5" t="s">
        <v>595</v>
      </c>
      <c r="F16" s="5">
        <v>2.0</v>
      </c>
      <c r="G16" s="5" t="s">
        <v>591</v>
      </c>
      <c r="H16" s="5" t="s">
        <v>592</v>
      </c>
      <c r="I16" s="5"/>
      <c r="J16" s="5" t="s">
        <v>545</v>
      </c>
    </row>
    <row r="17">
      <c r="A17" s="5" t="s">
        <v>596</v>
      </c>
      <c r="B17" s="5"/>
      <c r="C17" s="5"/>
      <c r="D17" s="5" t="s">
        <v>597</v>
      </c>
      <c r="E17" s="5" t="s">
        <v>598</v>
      </c>
      <c r="F17" s="5">
        <v>2.0</v>
      </c>
      <c r="G17" s="5" t="s">
        <v>558</v>
      </c>
      <c r="H17" s="5" t="s">
        <v>597</v>
      </c>
      <c r="I17" s="5"/>
      <c r="J17" s="5" t="s">
        <v>545</v>
      </c>
    </row>
    <row r="18">
      <c r="A18" s="9"/>
      <c r="B18" s="9"/>
      <c r="C18" s="9"/>
      <c r="D18" s="9"/>
      <c r="E18" s="9" t="s">
        <v>599</v>
      </c>
      <c r="F18" s="9">
        <v>19.0</v>
      </c>
      <c r="G18" s="9"/>
      <c r="H18" s="9"/>
      <c r="I18" s="9"/>
      <c r="J18" s="9"/>
    </row>
    <row r="19">
      <c r="A19" s="15" t="s">
        <v>600</v>
      </c>
      <c r="B19" s="15" t="s">
        <v>601</v>
      </c>
      <c r="C19" s="15"/>
      <c r="D19" s="15"/>
      <c r="E19" s="15"/>
      <c r="F19" s="15"/>
      <c r="G19" s="15"/>
      <c r="H19" s="15"/>
      <c r="I19" s="15"/>
      <c r="J19" s="15"/>
    </row>
    <row r="20">
      <c r="A20" s="14" t="s">
        <v>602</v>
      </c>
      <c r="B20" s="14"/>
      <c r="C20" s="14" t="s">
        <v>603</v>
      </c>
      <c r="D20" s="14"/>
      <c r="E20" s="14"/>
      <c r="F20" s="14"/>
      <c r="G20" s="14"/>
      <c r="H20" s="14"/>
      <c r="I20" s="14"/>
      <c r="J20" s="14" t="s">
        <v>604</v>
      </c>
    </row>
    <row r="21" ht="15.75" customHeight="1">
      <c r="A21" s="5" t="s">
        <v>605</v>
      </c>
      <c r="B21" s="5"/>
      <c r="C21" s="5"/>
      <c r="D21" s="5" t="s">
        <v>606</v>
      </c>
      <c r="E21" s="5" t="s">
        <v>607</v>
      </c>
      <c r="F21" s="5">
        <v>2.0</v>
      </c>
      <c r="G21" s="5" t="s">
        <v>558</v>
      </c>
      <c r="H21" s="5" t="s">
        <v>608</v>
      </c>
      <c r="I21" s="5"/>
      <c r="J21" s="5" t="s">
        <v>604</v>
      </c>
    </row>
    <row r="22" ht="15.75" customHeight="1">
      <c r="A22" s="5" t="s">
        <v>609</v>
      </c>
      <c r="B22" s="5"/>
      <c r="C22" s="5"/>
      <c r="D22" s="5" t="s">
        <v>610</v>
      </c>
      <c r="E22" s="5" t="s">
        <v>611</v>
      </c>
      <c r="F22" s="5">
        <v>2.0</v>
      </c>
      <c r="G22" s="5" t="s">
        <v>558</v>
      </c>
      <c r="H22" s="5" t="s">
        <v>612</v>
      </c>
      <c r="I22" s="5" t="s">
        <v>59</v>
      </c>
      <c r="J22" s="5" t="s">
        <v>604</v>
      </c>
    </row>
    <row r="23" ht="15.75" customHeight="1">
      <c r="A23" s="5" t="s">
        <v>613</v>
      </c>
      <c r="B23" s="5"/>
      <c r="C23" s="5"/>
      <c r="D23" s="5" t="s">
        <v>614</v>
      </c>
      <c r="E23" s="5" t="s">
        <v>615</v>
      </c>
      <c r="F23" s="5">
        <v>1.0</v>
      </c>
      <c r="G23" s="5" t="s">
        <v>558</v>
      </c>
      <c r="H23" s="5" t="s">
        <v>616</v>
      </c>
      <c r="I23" s="5"/>
      <c r="J23" s="5" t="s">
        <v>604</v>
      </c>
    </row>
    <row r="24" ht="15.75" customHeight="1">
      <c r="A24" s="5" t="s">
        <v>57</v>
      </c>
      <c r="B24" s="5"/>
      <c r="C24" s="5"/>
      <c r="D24" s="5" t="s">
        <v>617</v>
      </c>
      <c r="E24" s="5" t="s">
        <v>618</v>
      </c>
      <c r="F24" s="5">
        <v>2.0</v>
      </c>
      <c r="G24" s="5" t="s">
        <v>558</v>
      </c>
      <c r="H24" s="5" t="s">
        <v>619</v>
      </c>
      <c r="I24" s="5" t="s">
        <v>620</v>
      </c>
      <c r="J24" s="5" t="s">
        <v>604</v>
      </c>
    </row>
    <row r="25" ht="15.75" customHeight="1">
      <c r="A25" s="5" t="s">
        <v>48</v>
      </c>
      <c r="B25" s="5"/>
      <c r="C25" s="5"/>
      <c r="D25" s="5" t="s">
        <v>45</v>
      </c>
      <c r="E25" s="5" t="s">
        <v>621</v>
      </c>
      <c r="F25" s="5">
        <v>2.0</v>
      </c>
      <c r="G25" s="5" t="s">
        <v>558</v>
      </c>
      <c r="H25" s="5" t="s">
        <v>622</v>
      </c>
      <c r="I25" s="5"/>
      <c r="J25" s="5" t="s">
        <v>604</v>
      </c>
    </row>
    <row r="26" ht="15.75" customHeight="1">
      <c r="A26" s="5" t="s">
        <v>52</v>
      </c>
      <c r="B26" s="5"/>
      <c r="C26" s="5"/>
      <c r="D26" s="5" t="s">
        <v>623</v>
      </c>
      <c r="E26" s="5" t="s">
        <v>624</v>
      </c>
      <c r="F26" s="5">
        <v>2.0</v>
      </c>
      <c r="G26" s="5" t="s">
        <v>558</v>
      </c>
      <c r="H26" s="5" t="s">
        <v>623</v>
      </c>
      <c r="I26" s="5" t="s">
        <v>49</v>
      </c>
      <c r="J26" s="5" t="s">
        <v>604</v>
      </c>
    </row>
    <row r="27" ht="15.75" customHeight="1">
      <c r="A27" s="14" t="s">
        <v>625</v>
      </c>
      <c r="B27" s="14"/>
      <c r="C27" s="14" t="s">
        <v>626</v>
      </c>
      <c r="D27" s="14"/>
      <c r="E27" s="14"/>
      <c r="F27" s="14"/>
      <c r="G27" s="14"/>
      <c r="H27" s="14"/>
      <c r="I27" s="14"/>
      <c r="J27" s="14" t="s">
        <v>604</v>
      </c>
    </row>
    <row r="28" ht="15.75" customHeight="1">
      <c r="A28" s="5" t="s">
        <v>627</v>
      </c>
      <c r="B28" s="5"/>
      <c r="C28" s="5"/>
      <c r="D28" s="5" t="s">
        <v>628</v>
      </c>
      <c r="E28" s="5" t="s">
        <v>629</v>
      </c>
      <c r="F28" s="5">
        <v>3.0</v>
      </c>
      <c r="G28" s="5" t="s">
        <v>558</v>
      </c>
      <c r="H28" s="5" t="s">
        <v>630</v>
      </c>
      <c r="I28" s="5"/>
      <c r="J28" s="5" t="s">
        <v>604</v>
      </c>
    </row>
    <row r="29" ht="15.75" customHeight="1">
      <c r="A29" s="5" t="s">
        <v>631</v>
      </c>
      <c r="B29" s="5"/>
      <c r="C29" s="5"/>
      <c r="D29" s="5" t="s">
        <v>632</v>
      </c>
      <c r="E29" s="5" t="s">
        <v>633</v>
      </c>
      <c r="F29" s="5">
        <v>2.0</v>
      </c>
      <c r="G29" s="5" t="s">
        <v>558</v>
      </c>
      <c r="H29" s="5" t="s">
        <v>634</v>
      </c>
      <c r="I29" s="5"/>
      <c r="J29" s="5" t="s">
        <v>604</v>
      </c>
    </row>
    <row r="30" ht="15.75" customHeight="1">
      <c r="A30" s="5" t="s">
        <v>635</v>
      </c>
      <c r="B30" s="5"/>
      <c r="C30" s="5"/>
      <c r="D30" s="5" t="s">
        <v>636</v>
      </c>
      <c r="E30" s="5" t="s">
        <v>637</v>
      </c>
      <c r="F30" s="5">
        <v>2.0</v>
      </c>
      <c r="G30" s="5" t="s">
        <v>558</v>
      </c>
      <c r="H30" s="5" t="s">
        <v>638</v>
      </c>
      <c r="I30" s="5"/>
      <c r="J30" s="5" t="s">
        <v>604</v>
      </c>
    </row>
    <row r="31" ht="15.75" customHeight="1">
      <c r="A31" s="14" t="s">
        <v>639</v>
      </c>
      <c r="B31" s="14"/>
      <c r="C31" s="14" t="s">
        <v>640</v>
      </c>
      <c r="D31" s="14"/>
      <c r="E31" s="14"/>
      <c r="F31" s="14"/>
      <c r="G31" s="14"/>
      <c r="H31" s="14"/>
      <c r="I31" s="14"/>
      <c r="J31" s="14" t="s">
        <v>604</v>
      </c>
    </row>
    <row r="32" ht="15.75" customHeight="1">
      <c r="A32" s="5" t="s">
        <v>641</v>
      </c>
      <c r="B32" s="5"/>
      <c r="C32" s="5"/>
      <c r="D32" s="5" t="s">
        <v>642</v>
      </c>
      <c r="E32" s="5" t="s">
        <v>643</v>
      </c>
      <c r="F32" s="5">
        <v>2.0</v>
      </c>
      <c r="G32" s="5" t="s">
        <v>558</v>
      </c>
      <c r="H32" s="5" t="s">
        <v>644</v>
      </c>
      <c r="I32" s="5"/>
      <c r="J32" s="5" t="s">
        <v>604</v>
      </c>
    </row>
    <row r="33" ht="15.75" customHeight="1">
      <c r="A33" s="5" t="s">
        <v>78</v>
      </c>
      <c r="B33" s="5"/>
      <c r="C33" s="5"/>
      <c r="D33" s="5" t="s">
        <v>645</v>
      </c>
      <c r="E33" s="5" t="s">
        <v>646</v>
      </c>
      <c r="F33" s="5">
        <v>2.0</v>
      </c>
      <c r="G33" s="5" t="s">
        <v>558</v>
      </c>
      <c r="H33" s="5" t="s">
        <v>647</v>
      </c>
      <c r="I33" s="5" t="s">
        <v>648</v>
      </c>
      <c r="J33" s="5" t="s">
        <v>604</v>
      </c>
    </row>
    <row r="34" ht="15.75" customHeight="1">
      <c r="A34" s="5" t="s">
        <v>67</v>
      </c>
      <c r="B34" s="5"/>
      <c r="C34" s="5"/>
      <c r="D34" s="5" t="s">
        <v>649</v>
      </c>
      <c r="E34" s="5" t="s">
        <v>650</v>
      </c>
      <c r="F34" s="5">
        <v>2.0</v>
      </c>
      <c r="G34" s="5" t="s">
        <v>558</v>
      </c>
      <c r="H34" s="5" t="s">
        <v>651</v>
      </c>
      <c r="I34" s="5" t="s">
        <v>652</v>
      </c>
      <c r="J34" s="5" t="s">
        <v>604</v>
      </c>
    </row>
    <row r="35" ht="15.75" customHeight="1">
      <c r="A35" s="14" t="s">
        <v>653</v>
      </c>
      <c r="B35" s="14"/>
      <c r="C35" s="14" t="s">
        <v>654</v>
      </c>
      <c r="D35" s="14"/>
      <c r="E35" s="14"/>
      <c r="F35" s="14"/>
      <c r="G35" s="14"/>
      <c r="H35" s="14"/>
      <c r="I35" s="14"/>
      <c r="J35" s="14" t="s">
        <v>604</v>
      </c>
    </row>
    <row r="36" ht="15.75" customHeight="1">
      <c r="A36" s="5" t="s">
        <v>412</v>
      </c>
      <c r="B36" s="5"/>
      <c r="C36" s="5"/>
      <c r="D36" s="5" t="s">
        <v>655</v>
      </c>
      <c r="E36" s="5" t="s">
        <v>656</v>
      </c>
      <c r="F36" s="5">
        <v>1.0</v>
      </c>
      <c r="G36" s="5" t="s">
        <v>549</v>
      </c>
      <c r="H36" s="5" t="s">
        <v>657</v>
      </c>
      <c r="I36" s="5"/>
      <c r="J36" s="5" t="s">
        <v>604</v>
      </c>
    </row>
    <row r="37" ht="15.75" customHeight="1">
      <c r="A37" s="5" t="s">
        <v>420</v>
      </c>
      <c r="B37" s="5"/>
      <c r="C37" s="5"/>
      <c r="D37" s="5" t="s">
        <v>658</v>
      </c>
      <c r="E37" s="5" t="s">
        <v>659</v>
      </c>
      <c r="F37" s="5">
        <v>1.0</v>
      </c>
      <c r="G37" s="5" t="s">
        <v>660</v>
      </c>
      <c r="H37" s="5" t="s">
        <v>661</v>
      </c>
      <c r="I37" s="5" t="s">
        <v>417</v>
      </c>
      <c r="J37" s="5" t="s">
        <v>604</v>
      </c>
    </row>
    <row r="38" ht="15.75" customHeight="1">
      <c r="A38" s="5" t="s">
        <v>424</v>
      </c>
      <c r="B38" s="5"/>
      <c r="C38" s="5"/>
      <c r="D38" s="5" t="s">
        <v>662</v>
      </c>
      <c r="E38" s="5" t="s">
        <v>663</v>
      </c>
      <c r="F38" s="5">
        <v>1.0</v>
      </c>
      <c r="G38" s="5" t="s">
        <v>660</v>
      </c>
      <c r="H38" s="5" t="s">
        <v>664</v>
      </c>
      <c r="I38" s="5" t="s">
        <v>421</v>
      </c>
      <c r="J38" s="5" t="s">
        <v>604</v>
      </c>
    </row>
    <row r="39" ht="15.75" customHeight="1">
      <c r="A39" s="9"/>
      <c r="B39" s="9"/>
      <c r="C39" s="9"/>
      <c r="D39" s="9"/>
      <c r="E39" s="9" t="s">
        <v>665</v>
      </c>
      <c r="F39" s="9">
        <v>27.0</v>
      </c>
      <c r="G39" s="9"/>
      <c r="H39" s="9"/>
      <c r="I39" s="9"/>
      <c r="J39" s="9"/>
    </row>
    <row r="40" ht="15.75" customHeight="1">
      <c r="A40" s="16" t="s">
        <v>666</v>
      </c>
      <c r="B40" s="16" t="s">
        <v>667</v>
      </c>
      <c r="C40" s="16"/>
      <c r="D40" s="16"/>
      <c r="E40" s="16"/>
      <c r="F40" s="16"/>
      <c r="G40" s="16"/>
      <c r="H40" s="16"/>
      <c r="I40" s="16"/>
      <c r="J40" s="16"/>
    </row>
    <row r="41" ht="15.75" customHeight="1">
      <c r="A41" s="14" t="s">
        <v>668</v>
      </c>
      <c r="B41" s="14"/>
      <c r="C41" s="14" t="s">
        <v>669</v>
      </c>
      <c r="D41" s="14"/>
      <c r="E41" s="14"/>
      <c r="F41" s="14"/>
      <c r="G41" s="14"/>
      <c r="H41" s="14"/>
      <c r="I41" s="14"/>
      <c r="J41" s="14" t="s">
        <v>670</v>
      </c>
    </row>
    <row r="42" ht="15.75" customHeight="1">
      <c r="A42" s="5" t="s">
        <v>102</v>
      </c>
      <c r="B42" s="5"/>
      <c r="C42" s="5"/>
      <c r="D42" s="5" t="s">
        <v>671</v>
      </c>
      <c r="E42" s="5" t="s">
        <v>672</v>
      </c>
      <c r="F42" s="5">
        <v>3.0</v>
      </c>
      <c r="G42" s="5" t="s">
        <v>558</v>
      </c>
      <c r="H42" s="5" t="s">
        <v>673</v>
      </c>
      <c r="I42" s="5"/>
      <c r="J42" s="5" t="s">
        <v>670</v>
      </c>
    </row>
    <row r="43" ht="15.75" customHeight="1">
      <c r="A43" s="5" t="s">
        <v>674</v>
      </c>
      <c r="B43" s="5"/>
      <c r="C43" s="5"/>
      <c r="D43" s="5" t="s">
        <v>675</v>
      </c>
      <c r="E43" s="5" t="s">
        <v>676</v>
      </c>
      <c r="F43" s="5">
        <v>8.0</v>
      </c>
      <c r="G43" s="5" t="s">
        <v>558</v>
      </c>
      <c r="H43" s="5" t="s">
        <v>677</v>
      </c>
      <c r="I43" s="5"/>
      <c r="J43" s="5" t="s">
        <v>670</v>
      </c>
    </row>
    <row r="44" ht="15.75" customHeight="1">
      <c r="A44" s="5" t="s">
        <v>678</v>
      </c>
      <c r="B44" s="5"/>
      <c r="C44" s="5"/>
      <c r="D44" s="5" t="s">
        <v>679</v>
      </c>
      <c r="E44" s="5" t="s">
        <v>680</v>
      </c>
      <c r="F44" s="5">
        <v>3.0</v>
      </c>
      <c r="G44" s="5" t="s">
        <v>161</v>
      </c>
      <c r="H44" s="5" t="s">
        <v>681</v>
      </c>
      <c r="I44" s="5"/>
      <c r="J44" s="5" t="s">
        <v>670</v>
      </c>
    </row>
    <row r="45" ht="15.75" customHeight="1">
      <c r="A45" s="5" t="s">
        <v>158</v>
      </c>
      <c r="B45" s="5"/>
      <c r="C45" s="5"/>
      <c r="D45" s="5" t="s">
        <v>156</v>
      </c>
      <c r="E45" s="5" t="s">
        <v>682</v>
      </c>
      <c r="F45" s="5">
        <v>2.0</v>
      </c>
      <c r="G45" s="5" t="s">
        <v>161</v>
      </c>
      <c r="H45" s="5" t="s">
        <v>683</v>
      </c>
      <c r="I45" s="5" t="s">
        <v>155</v>
      </c>
      <c r="J45" s="5" t="s">
        <v>670</v>
      </c>
    </row>
    <row r="46" ht="15.75" customHeight="1">
      <c r="A46" s="5" t="s">
        <v>176</v>
      </c>
      <c r="B46" s="5"/>
      <c r="C46" s="5"/>
      <c r="D46" s="5" t="s">
        <v>174</v>
      </c>
      <c r="E46" s="5" t="s">
        <v>684</v>
      </c>
      <c r="F46" s="5">
        <v>1.0</v>
      </c>
      <c r="G46" s="5" t="s">
        <v>558</v>
      </c>
      <c r="H46" s="5" t="s">
        <v>401</v>
      </c>
      <c r="I46" s="5" t="s">
        <v>173</v>
      </c>
      <c r="J46" s="5" t="s">
        <v>670</v>
      </c>
    </row>
    <row r="47" ht="15.75" customHeight="1">
      <c r="A47" s="5" t="s">
        <v>685</v>
      </c>
      <c r="B47" s="5"/>
      <c r="C47" s="5"/>
      <c r="D47" s="5" t="s">
        <v>686</v>
      </c>
      <c r="E47" s="5" t="s">
        <v>687</v>
      </c>
      <c r="F47" s="5">
        <v>1.0</v>
      </c>
      <c r="G47" s="5" t="s">
        <v>558</v>
      </c>
      <c r="H47" s="5" t="s">
        <v>688</v>
      </c>
      <c r="I47" s="5" t="s">
        <v>689</v>
      </c>
      <c r="J47" s="5" t="s">
        <v>670</v>
      </c>
    </row>
    <row r="48" ht="15.75" customHeight="1">
      <c r="A48" s="14" t="s">
        <v>690</v>
      </c>
      <c r="B48" s="14"/>
      <c r="C48" s="14" t="s">
        <v>691</v>
      </c>
      <c r="D48" s="14"/>
      <c r="E48" s="14"/>
      <c r="F48" s="14"/>
      <c r="G48" s="14"/>
      <c r="H48" s="14"/>
      <c r="I48" s="14"/>
      <c r="J48" s="14" t="s">
        <v>670</v>
      </c>
    </row>
    <row r="49" ht="15.75" customHeight="1">
      <c r="A49" s="5" t="s">
        <v>89</v>
      </c>
      <c r="B49" s="5"/>
      <c r="C49" s="5"/>
      <c r="D49" s="5" t="s">
        <v>88</v>
      </c>
      <c r="E49" s="5" t="s">
        <v>692</v>
      </c>
      <c r="F49" s="5">
        <v>5.0</v>
      </c>
      <c r="G49" s="5" t="s">
        <v>161</v>
      </c>
      <c r="H49" s="5" t="s">
        <v>693</v>
      </c>
      <c r="I49" s="5" t="s">
        <v>694</v>
      </c>
      <c r="J49" s="5" t="s">
        <v>670</v>
      </c>
    </row>
    <row r="50" ht="15.75" customHeight="1">
      <c r="A50" s="5" t="s">
        <v>695</v>
      </c>
      <c r="B50" s="5"/>
      <c r="C50" s="5"/>
      <c r="D50" s="5" t="s">
        <v>696</v>
      </c>
      <c r="E50" s="5" t="s">
        <v>697</v>
      </c>
      <c r="F50" s="5">
        <v>1.0</v>
      </c>
      <c r="G50" s="5" t="s">
        <v>558</v>
      </c>
      <c r="H50" s="5" t="s">
        <v>698</v>
      </c>
      <c r="I50" s="5"/>
      <c r="J50" s="5" t="s">
        <v>670</v>
      </c>
    </row>
    <row r="51" ht="15.75" customHeight="1">
      <c r="A51" s="5" t="s">
        <v>93</v>
      </c>
      <c r="B51" s="5"/>
      <c r="C51" s="5"/>
      <c r="D51" s="5" t="s">
        <v>699</v>
      </c>
      <c r="E51" s="5" t="s">
        <v>700</v>
      </c>
      <c r="F51" s="5">
        <v>2.0</v>
      </c>
      <c r="G51" s="5" t="s">
        <v>558</v>
      </c>
      <c r="H51" s="5" t="s">
        <v>701</v>
      </c>
      <c r="I51" s="5" t="s">
        <v>90</v>
      </c>
      <c r="J51" s="5" t="s">
        <v>670</v>
      </c>
    </row>
    <row r="52" ht="15.75" customHeight="1">
      <c r="A52" s="5" t="s">
        <v>120</v>
      </c>
      <c r="B52" s="5"/>
      <c r="C52" s="5"/>
      <c r="D52" s="5" t="s">
        <v>119</v>
      </c>
      <c r="E52" s="5" t="s">
        <v>702</v>
      </c>
      <c r="F52" s="5">
        <v>4.0</v>
      </c>
      <c r="G52" s="5" t="s">
        <v>558</v>
      </c>
      <c r="H52" s="5" t="s">
        <v>703</v>
      </c>
      <c r="I52" s="5" t="s">
        <v>704</v>
      </c>
      <c r="J52" s="5" t="s">
        <v>670</v>
      </c>
    </row>
    <row r="53" ht="15.75" customHeight="1">
      <c r="A53" s="5" t="s">
        <v>134</v>
      </c>
      <c r="B53" s="5"/>
      <c r="C53" s="5"/>
      <c r="D53" s="5" t="s">
        <v>705</v>
      </c>
      <c r="E53" s="5" t="s">
        <v>706</v>
      </c>
      <c r="F53" s="5">
        <v>1.0</v>
      </c>
      <c r="G53" s="5" t="s">
        <v>558</v>
      </c>
      <c r="H53" s="5" t="s">
        <v>707</v>
      </c>
      <c r="I53" s="5" t="s">
        <v>131</v>
      </c>
      <c r="J53" s="5" t="s">
        <v>670</v>
      </c>
    </row>
    <row r="54" ht="15.75" customHeight="1">
      <c r="A54" s="14" t="s">
        <v>708</v>
      </c>
      <c r="B54" s="14"/>
      <c r="C54" s="14" t="s">
        <v>709</v>
      </c>
      <c r="D54" s="14"/>
      <c r="E54" s="14"/>
      <c r="F54" s="14"/>
      <c r="G54" s="14"/>
      <c r="H54" s="14"/>
      <c r="I54" s="14"/>
      <c r="J54" s="14" t="s">
        <v>670</v>
      </c>
    </row>
    <row r="55" ht="15.75" customHeight="1">
      <c r="A55" s="5" t="s">
        <v>188</v>
      </c>
      <c r="B55" s="5"/>
      <c r="C55" s="5"/>
      <c r="D55" s="5" t="s">
        <v>710</v>
      </c>
      <c r="E55" s="5" t="s">
        <v>711</v>
      </c>
      <c r="F55" s="5">
        <v>3.0</v>
      </c>
      <c r="G55" s="5" t="s">
        <v>558</v>
      </c>
      <c r="H55" s="5" t="s">
        <v>712</v>
      </c>
      <c r="I55" s="5"/>
      <c r="J55" s="5" t="s">
        <v>670</v>
      </c>
    </row>
    <row r="56" ht="15.75" customHeight="1">
      <c r="A56" s="5" t="s">
        <v>165</v>
      </c>
      <c r="B56" s="5"/>
      <c r="C56" s="5"/>
      <c r="D56" s="5" t="s">
        <v>713</v>
      </c>
      <c r="E56" s="5" t="s">
        <v>164</v>
      </c>
      <c r="F56" s="5">
        <v>2.0</v>
      </c>
      <c r="G56" s="5" t="s">
        <v>558</v>
      </c>
      <c r="H56" s="5" t="s">
        <v>714</v>
      </c>
      <c r="I56" s="5" t="s">
        <v>162</v>
      </c>
      <c r="J56" s="5" t="s">
        <v>670</v>
      </c>
    </row>
    <row r="57" ht="15.75" customHeight="1">
      <c r="A57" s="5" t="s">
        <v>403</v>
      </c>
      <c r="B57" s="5"/>
      <c r="C57" s="5"/>
      <c r="D57" s="5" t="s">
        <v>715</v>
      </c>
      <c r="E57" s="5" t="s">
        <v>716</v>
      </c>
      <c r="F57" s="5">
        <v>2.0</v>
      </c>
      <c r="G57" s="5" t="s">
        <v>558</v>
      </c>
      <c r="H57" s="5" t="s">
        <v>717</v>
      </c>
      <c r="I57" s="5" t="s">
        <v>718</v>
      </c>
      <c r="J57" s="5" t="s">
        <v>670</v>
      </c>
    </row>
    <row r="58" ht="15.75" customHeight="1">
      <c r="A58" s="9"/>
      <c r="B58" s="9"/>
      <c r="C58" s="9"/>
      <c r="D58" s="9"/>
      <c r="E58" s="9" t="s">
        <v>719</v>
      </c>
      <c r="F58" s="9">
        <v>38.0</v>
      </c>
      <c r="G58" s="9"/>
      <c r="H58" s="9"/>
      <c r="I58" s="9"/>
      <c r="J58" s="9"/>
    </row>
    <row r="59" ht="15.75" customHeight="1">
      <c r="A59" s="14" t="s">
        <v>720</v>
      </c>
      <c r="B59" s="14"/>
      <c r="C59" s="14" t="s">
        <v>721</v>
      </c>
      <c r="D59" s="14"/>
      <c r="E59" s="14"/>
      <c r="F59" s="14"/>
      <c r="G59" s="14"/>
      <c r="H59" s="14"/>
      <c r="I59" s="14"/>
      <c r="J59" s="14" t="s">
        <v>722</v>
      </c>
    </row>
    <row r="60" ht="15.75" customHeight="1">
      <c r="A60" s="5" t="s">
        <v>723</v>
      </c>
      <c r="B60" s="5"/>
      <c r="C60" s="5"/>
      <c r="D60" s="5" t="s">
        <v>724</v>
      </c>
      <c r="E60" s="5" t="s">
        <v>725</v>
      </c>
      <c r="F60" s="5">
        <v>3.0</v>
      </c>
      <c r="G60" s="5" t="s">
        <v>558</v>
      </c>
      <c r="H60" s="5" t="s">
        <v>726</v>
      </c>
      <c r="I60" s="5" t="s">
        <v>138</v>
      </c>
      <c r="J60" s="5" t="s">
        <v>722</v>
      </c>
    </row>
    <row r="61" ht="15.75" customHeight="1">
      <c r="A61" s="5" t="s">
        <v>145</v>
      </c>
      <c r="B61" s="5"/>
      <c r="C61" s="5"/>
      <c r="D61" s="5" t="s">
        <v>143</v>
      </c>
      <c r="E61" s="5" t="s">
        <v>727</v>
      </c>
      <c r="F61" s="5">
        <v>3.0</v>
      </c>
      <c r="G61" s="5" t="s">
        <v>558</v>
      </c>
      <c r="H61" s="5" t="s">
        <v>728</v>
      </c>
      <c r="I61" s="5" t="s">
        <v>142</v>
      </c>
      <c r="J61" s="5" t="s">
        <v>722</v>
      </c>
    </row>
    <row r="62" ht="15.75" customHeight="1">
      <c r="A62" s="5" t="s">
        <v>149</v>
      </c>
      <c r="B62" s="5"/>
      <c r="C62" s="5"/>
      <c r="D62" s="5" t="s">
        <v>147</v>
      </c>
      <c r="E62" s="5" t="s">
        <v>729</v>
      </c>
      <c r="F62" s="5">
        <v>2.0</v>
      </c>
      <c r="G62" s="5" t="s">
        <v>558</v>
      </c>
      <c r="H62" s="5" t="s">
        <v>730</v>
      </c>
      <c r="I62" s="5" t="s">
        <v>146</v>
      </c>
      <c r="J62" s="5" t="s">
        <v>722</v>
      </c>
    </row>
    <row r="63" ht="15.75" customHeight="1">
      <c r="A63" s="5" t="s">
        <v>153</v>
      </c>
      <c r="B63" s="5"/>
      <c r="C63" s="5"/>
      <c r="D63" s="5" t="s">
        <v>731</v>
      </c>
      <c r="E63" s="5" t="s">
        <v>732</v>
      </c>
      <c r="F63" s="5">
        <v>1.0</v>
      </c>
      <c r="G63" s="5" t="s">
        <v>558</v>
      </c>
      <c r="H63" s="5" t="s">
        <v>733</v>
      </c>
      <c r="I63" s="5" t="s">
        <v>734</v>
      </c>
      <c r="J63" s="5" t="s">
        <v>722</v>
      </c>
    </row>
    <row r="64" ht="15.75" customHeight="1">
      <c r="A64" s="14" t="s">
        <v>735</v>
      </c>
      <c r="B64" s="14"/>
      <c r="C64" s="14" t="s">
        <v>736</v>
      </c>
      <c r="D64" s="14"/>
      <c r="E64" s="14"/>
      <c r="F64" s="14"/>
      <c r="G64" s="14"/>
      <c r="H64" s="14"/>
      <c r="I64" s="14"/>
      <c r="J64" s="14" t="s">
        <v>722</v>
      </c>
    </row>
    <row r="65" ht="15.75" customHeight="1">
      <c r="A65" s="5" t="s">
        <v>107</v>
      </c>
      <c r="B65" s="5"/>
      <c r="C65" s="5"/>
      <c r="D65" s="5" t="s">
        <v>737</v>
      </c>
      <c r="E65" s="5" t="s">
        <v>738</v>
      </c>
      <c r="F65" s="5">
        <v>3.0</v>
      </c>
      <c r="G65" s="5" t="s">
        <v>558</v>
      </c>
      <c r="H65" s="5" t="s">
        <v>739</v>
      </c>
      <c r="I65" s="5" t="s">
        <v>104</v>
      </c>
      <c r="J65" s="5" t="s">
        <v>722</v>
      </c>
    </row>
    <row r="66" ht="15.75" customHeight="1">
      <c r="A66" s="5" t="s">
        <v>740</v>
      </c>
      <c r="B66" s="5"/>
      <c r="C66" s="5"/>
      <c r="D66" s="5" t="s">
        <v>741</v>
      </c>
      <c r="E66" s="5" t="s">
        <v>742</v>
      </c>
      <c r="F66" s="5">
        <v>3.0</v>
      </c>
      <c r="G66" s="5" t="s">
        <v>558</v>
      </c>
      <c r="H66" s="5" t="s">
        <v>743</v>
      </c>
      <c r="I66" s="5"/>
      <c r="J66" s="5" t="s">
        <v>722</v>
      </c>
    </row>
    <row r="67" ht="15.75" customHeight="1">
      <c r="A67" s="5" t="s">
        <v>111</v>
      </c>
      <c r="B67" s="5"/>
      <c r="C67" s="5"/>
      <c r="D67" s="5" t="s">
        <v>744</v>
      </c>
      <c r="E67" s="5" t="s">
        <v>110</v>
      </c>
      <c r="F67" s="5">
        <v>1.0</v>
      </c>
      <c r="G67" s="5" t="s">
        <v>558</v>
      </c>
      <c r="H67" s="5" t="s">
        <v>745</v>
      </c>
      <c r="I67" s="5" t="s">
        <v>108</v>
      </c>
      <c r="J67" s="5" t="s">
        <v>722</v>
      </c>
    </row>
    <row r="68" ht="15.75" customHeight="1">
      <c r="A68" s="14" t="s">
        <v>746</v>
      </c>
      <c r="B68" s="14"/>
      <c r="C68" s="14" t="s">
        <v>747</v>
      </c>
      <c r="D68" s="14"/>
      <c r="E68" s="14"/>
      <c r="F68" s="14"/>
      <c r="G68" s="14"/>
      <c r="H68" s="14"/>
      <c r="I68" s="14"/>
      <c r="J68" s="14" t="s">
        <v>722</v>
      </c>
    </row>
    <row r="69" ht="15.75" customHeight="1">
      <c r="A69" s="5" t="s">
        <v>748</v>
      </c>
      <c r="B69" s="5"/>
      <c r="C69" s="5"/>
      <c r="D69" s="5" t="s">
        <v>749</v>
      </c>
      <c r="E69" s="5" t="s">
        <v>84</v>
      </c>
      <c r="F69" s="5">
        <v>3.0</v>
      </c>
      <c r="G69" s="5" t="s">
        <v>558</v>
      </c>
      <c r="H69" s="5" t="s">
        <v>750</v>
      </c>
      <c r="I69" s="5" t="s">
        <v>82</v>
      </c>
      <c r="J69" s="5" t="s">
        <v>722</v>
      </c>
    </row>
    <row r="70" ht="15.75" customHeight="1">
      <c r="A70" s="5" t="s">
        <v>751</v>
      </c>
      <c r="B70" s="5"/>
      <c r="C70" s="5"/>
      <c r="D70" s="5" t="s">
        <v>752</v>
      </c>
      <c r="E70" s="5" t="s">
        <v>753</v>
      </c>
      <c r="F70" s="5">
        <v>1.0</v>
      </c>
      <c r="G70" s="5" t="s">
        <v>558</v>
      </c>
      <c r="H70" s="5" t="s">
        <v>754</v>
      </c>
      <c r="I70" s="5"/>
      <c r="J70" s="5" t="s">
        <v>722</v>
      </c>
    </row>
    <row r="71" ht="15.75" customHeight="1">
      <c r="A71" s="14" t="s">
        <v>755</v>
      </c>
      <c r="B71" s="14"/>
      <c r="C71" s="14" t="s">
        <v>756</v>
      </c>
      <c r="D71" s="14"/>
      <c r="E71" s="14"/>
      <c r="F71" s="14"/>
      <c r="G71" s="14"/>
      <c r="H71" s="14"/>
      <c r="I71" s="14"/>
      <c r="J71" s="14" t="s">
        <v>722</v>
      </c>
    </row>
    <row r="72" ht="15.75" customHeight="1">
      <c r="A72" s="5" t="s">
        <v>757</v>
      </c>
      <c r="B72" s="5"/>
      <c r="C72" s="5"/>
      <c r="D72" s="5" t="s">
        <v>758</v>
      </c>
      <c r="E72" s="5" t="s">
        <v>759</v>
      </c>
      <c r="F72" s="5">
        <v>1.5</v>
      </c>
      <c r="G72" s="5" t="s">
        <v>558</v>
      </c>
      <c r="H72" s="5" t="s">
        <v>760</v>
      </c>
      <c r="I72" s="5" t="s">
        <v>761</v>
      </c>
      <c r="J72" s="5" t="s">
        <v>722</v>
      </c>
    </row>
    <row r="73" ht="15.75" customHeight="1">
      <c r="A73" s="5" t="s">
        <v>395</v>
      </c>
      <c r="B73" s="5"/>
      <c r="C73" s="5"/>
      <c r="D73" s="5" t="s">
        <v>762</v>
      </c>
      <c r="E73" s="5" t="s">
        <v>763</v>
      </c>
      <c r="F73" s="5">
        <v>1.5</v>
      </c>
      <c r="G73" s="5" t="s">
        <v>558</v>
      </c>
      <c r="H73" s="5" t="s">
        <v>764</v>
      </c>
      <c r="I73" s="5"/>
      <c r="J73" s="5" t="s">
        <v>722</v>
      </c>
    </row>
    <row r="74" ht="15.75" customHeight="1">
      <c r="A74" s="5" t="s">
        <v>765</v>
      </c>
      <c r="B74" s="5"/>
      <c r="C74" s="5"/>
      <c r="D74" s="5" t="s">
        <v>766</v>
      </c>
      <c r="E74" s="5" t="s">
        <v>767</v>
      </c>
      <c r="F74" s="5">
        <v>1.0</v>
      </c>
      <c r="G74" s="5" t="s">
        <v>558</v>
      </c>
      <c r="H74" s="5" t="s">
        <v>768</v>
      </c>
      <c r="I74" s="5"/>
      <c r="J74" s="5" t="s">
        <v>722</v>
      </c>
    </row>
    <row r="75" ht="15.75" customHeight="1">
      <c r="A75" s="9"/>
      <c r="B75" s="9"/>
      <c r="C75" s="9"/>
      <c r="D75" s="9"/>
      <c r="E75" s="9" t="s">
        <v>769</v>
      </c>
      <c r="F75" s="9">
        <v>24.0</v>
      </c>
      <c r="G75" s="9"/>
      <c r="H75" s="9"/>
      <c r="I75" s="9"/>
      <c r="J75" s="9"/>
    </row>
    <row r="76" ht="15.75" customHeight="1">
      <c r="A76" s="17" t="s">
        <v>770</v>
      </c>
      <c r="B76" s="17" t="s">
        <v>771</v>
      </c>
      <c r="C76" s="17"/>
      <c r="D76" s="17"/>
      <c r="E76" s="17"/>
      <c r="F76" s="17"/>
      <c r="G76" s="17"/>
      <c r="H76" s="17"/>
      <c r="I76" s="17"/>
      <c r="J76" s="17"/>
    </row>
    <row r="77" ht="15.75" customHeight="1">
      <c r="A77" s="14" t="s">
        <v>772</v>
      </c>
      <c r="B77" s="14"/>
      <c r="C77" s="14" t="s">
        <v>773</v>
      </c>
      <c r="D77" s="14"/>
      <c r="E77" s="14"/>
      <c r="F77" s="14"/>
      <c r="G77" s="14"/>
      <c r="H77" s="14"/>
      <c r="I77" s="14"/>
      <c r="J77" s="14" t="s">
        <v>774</v>
      </c>
    </row>
    <row r="78" ht="15.75" customHeight="1">
      <c r="A78" s="5" t="s">
        <v>193</v>
      </c>
      <c r="B78" s="5"/>
      <c r="C78" s="5"/>
      <c r="D78" s="5" t="s">
        <v>191</v>
      </c>
      <c r="E78" s="5" t="s">
        <v>775</v>
      </c>
      <c r="F78" s="5">
        <v>3.0</v>
      </c>
      <c r="G78" s="5" t="s">
        <v>558</v>
      </c>
      <c r="H78" s="5" t="s">
        <v>776</v>
      </c>
      <c r="I78" s="5" t="s">
        <v>777</v>
      </c>
      <c r="J78" s="5" t="s">
        <v>774</v>
      </c>
    </row>
    <row r="79" ht="15.75" customHeight="1">
      <c r="A79" s="5" t="s">
        <v>203</v>
      </c>
      <c r="B79" s="5"/>
      <c r="C79" s="5"/>
      <c r="D79" s="5" t="s">
        <v>778</v>
      </c>
      <c r="E79" s="5" t="s">
        <v>779</v>
      </c>
      <c r="F79" s="5">
        <v>5.0</v>
      </c>
      <c r="G79" s="5" t="s">
        <v>558</v>
      </c>
      <c r="H79" s="5" t="s">
        <v>780</v>
      </c>
      <c r="I79" s="5" t="s">
        <v>200</v>
      </c>
      <c r="J79" s="5" t="s">
        <v>774</v>
      </c>
    </row>
    <row r="80" ht="15.75" customHeight="1">
      <c r="A80" s="5" t="s">
        <v>207</v>
      </c>
      <c r="B80" s="5"/>
      <c r="C80" s="5"/>
      <c r="D80" s="5" t="s">
        <v>781</v>
      </c>
      <c r="E80" s="5" t="s">
        <v>782</v>
      </c>
      <c r="F80" s="5">
        <v>2.0</v>
      </c>
      <c r="G80" s="5" t="s">
        <v>558</v>
      </c>
      <c r="H80" s="5" t="s">
        <v>783</v>
      </c>
      <c r="I80" s="5" t="s">
        <v>204</v>
      </c>
      <c r="J80" s="5" t="s">
        <v>774</v>
      </c>
    </row>
    <row r="81" ht="15.75" customHeight="1">
      <c r="A81" s="5" t="s">
        <v>211</v>
      </c>
      <c r="B81" s="5"/>
      <c r="C81" s="5"/>
      <c r="D81" s="5" t="s">
        <v>784</v>
      </c>
      <c r="E81" s="5" t="s">
        <v>785</v>
      </c>
      <c r="F81" s="5">
        <v>2.0</v>
      </c>
      <c r="G81" s="5" t="s">
        <v>558</v>
      </c>
      <c r="H81" s="5" t="s">
        <v>786</v>
      </c>
      <c r="I81" s="5" t="s">
        <v>208</v>
      </c>
      <c r="J81" s="5" t="s">
        <v>774</v>
      </c>
    </row>
    <row r="82" ht="15.75" customHeight="1">
      <c r="A82" s="5" t="s">
        <v>215</v>
      </c>
      <c r="B82" s="5"/>
      <c r="C82" s="5"/>
      <c r="D82" s="5" t="s">
        <v>787</v>
      </c>
      <c r="E82" s="5" t="s">
        <v>788</v>
      </c>
      <c r="F82" s="5">
        <v>3.0</v>
      </c>
      <c r="G82" s="5" t="s">
        <v>558</v>
      </c>
      <c r="H82" s="5" t="s">
        <v>789</v>
      </c>
      <c r="I82" s="5" t="s">
        <v>790</v>
      </c>
      <c r="J82" s="5" t="s">
        <v>774</v>
      </c>
    </row>
    <row r="83" ht="15.75" customHeight="1">
      <c r="A83" s="14" t="s">
        <v>791</v>
      </c>
      <c r="B83" s="14"/>
      <c r="C83" s="14" t="s">
        <v>792</v>
      </c>
      <c r="D83" s="14"/>
      <c r="E83" s="14"/>
      <c r="F83" s="14"/>
      <c r="G83" s="14"/>
      <c r="H83" s="14"/>
      <c r="I83" s="14"/>
      <c r="J83" s="14" t="s">
        <v>774</v>
      </c>
    </row>
    <row r="84" ht="15.75" customHeight="1">
      <c r="A84" s="5" t="s">
        <v>240</v>
      </c>
      <c r="B84" s="5"/>
      <c r="C84" s="5"/>
      <c r="D84" s="5" t="s">
        <v>793</v>
      </c>
      <c r="E84" s="5" t="s">
        <v>794</v>
      </c>
      <c r="F84" s="5">
        <v>3.0</v>
      </c>
      <c r="G84" s="5" t="s">
        <v>558</v>
      </c>
      <c r="H84" s="5" t="s">
        <v>795</v>
      </c>
      <c r="I84" s="5" t="s">
        <v>796</v>
      </c>
      <c r="J84" s="5" t="s">
        <v>774</v>
      </c>
    </row>
    <row r="85" ht="15.75" customHeight="1">
      <c r="A85" s="5" t="s">
        <v>249</v>
      </c>
      <c r="B85" s="5"/>
      <c r="C85" s="5"/>
      <c r="D85" s="5" t="s">
        <v>797</v>
      </c>
      <c r="E85" s="5" t="s">
        <v>798</v>
      </c>
      <c r="F85" s="5">
        <v>2.0</v>
      </c>
      <c r="G85" s="5" t="s">
        <v>558</v>
      </c>
      <c r="H85" s="5" t="s">
        <v>799</v>
      </c>
      <c r="I85" s="5" t="s">
        <v>247</v>
      </c>
      <c r="J85" s="5" t="s">
        <v>774</v>
      </c>
    </row>
    <row r="86" ht="15.75" customHeight="1">
      <c r="A86" s="5" t="s">
        <v>253</v>
      </c>
      <c r="B86" s="5"/>
      <c r="C86" s="5"/>
      <c r="D86" s="5" t="s">
        <v>251</v>
      </c>
      <c r="E86" s="5" t="s">
        <v>800</v>
      </c>
      <c r="F86" s="5">
        <v>1.0</v>
      </c>
      <c r="G86" s="5" t="s">
        <v>558</v>
      </c>
      <c r="H86" s="5" t="s">
        <v>801</v>
      </c>
      <c r="I86" s="5" t="s">
        <v>250</v>
      </c>
      <c r="J86" s="5" t="s">
        <v>774</v>
      </c>
    </row>
    <row r="87" ht="15.75" customHeight="1">
      <c r="A87" s="5" t="s">
        <v>257</v>
      </c>
      <c r="B87" s="5"/>
      <c r="C87" s="5"/>
      <c r="D87" s="5" t="s">
        <v>255</v>
      </c>
      <c r="E87" s="5" t="s">
        <v>802</v>
      </c>
      <c r="F87" s="5">
        <v>1.0</v>
      </c>
      <c r="G87" s="5" t="s">
        <v>558</v>
      </c>
      <c r="H87" s="5" t="s">
        <v>255</v>
      </c>
      <c r="I87" s="5" t="s">
        <v>254</v>
      </c>
      <c r="J87" s="5" t="s">
        <v>774</v>
      </c>
    </row>
    <row r="88" ht="15.75" customHeight="1">
      <c r="A88" s="5" t="s">
        <v>265</v>
      </c>
      <c r="B88" s="5"/>
      <c r="C88" s="5"/>
      <c r="D88" s="5" t="s">
        <v>263</v>
      </c>
      <c r="E88" s="5" t="s">
        <v>803</v>
      </c>
      <c r="F88" s="5">
        <v>2.0</v>
      </c>
      <c r="G88" s="5" t="s">
        <v>558</v>
      </c>
      <c r="H88" s="5" t="s">
        <v>263</v>
      </c>
      <c r="I88" s="5" t="s">
        <v>804</v>
      </c>
      <c r="J88" s="5" t="s">
        <v>774</v>
      </c>
    </row>
    <row r="89" ht="15.75" customHeight="1">
      <c r="A89" s="9"/>
      <c r="B89" s="9"/>
      <c r="C89" s="9"/>
      <c r="D89" s="9"/>
      <c r="E89" s="9" t="s">
        <v>805</v>
      </c>
      <c r="F89" s="9">
        <v>24.0</v>
      </c>
      <c r="G89" s="9"/>
      <c r="H89" s="9"/>
      <c r="I89" s="9"/>
      <c r="J89" s="9"/>
    </row>
    <row r="90" ht="15.75" customHeight="1">
      <c r="A90" s="18" t="s">
        <v>806</v>
      </c>
      <c r="B90" s="18" t="s">
        <v>807</v>
      </c>
      <c r="C90" s="18"/>
      <c r="D90" s="18"/>
      <c r="E90" s="18"/>
      <c r="F90" s="18"/>
      <c r="G90" s="18"/>
      <c r="H90" s="18"/>
      <c r="I90" s="18"/>
      <c r="J90" s="18"/>
    </row>
    <row r="91" ht="15.75" customHeight="1">
      <c r="A91" s="14" t="s">
        <v>808</v>
      </c>
      <c r="B91" s="14"/>
      <c r="C91" s="14" t="s">
        <v>809</v>
      </c>
      <c r="D91" s="14"/>
      <c r="E91" s="14"/>
      <c r="F91" s="14"/>
      <c r="G91" s="14"/>
      <c r="H91" s="14"/>
      <c r="I91" s="14"/>
      <c r="J91" s="14" t="s">
        <v>810</v>
      </c>
    </row>
    <row r="92" ht="15.75" customHeight="1">
      <c r="A92" s="5" t="s">
        <v>276</v>
      </c>
      <c r="B92" s="5"/>
      <c r="C92" s="5"/>
      <c r="D92" s="5" t="s">
        <v>811</v>
      </c>
      <c r="E92" s="5" t="s">
        <v>812</v>
      </c>
      <c r="F92" s="5">
        <v>3.0</v>
      </c>
      <c r="G92" s="5" t="s">
        <v>558</v>
      </c>
      <c r="H92" s="5" t="s">
        <v>813</v>
      </c>
      <c r="I92" s="5" t="s">
        <v>814</v>
      </c>
      <c r="J92" s="5" t="s">
        <v>810</v>
      </c>
    </row>
    <row r="93" ht="15.75" customHeight="1">
      <c r="A93" s="5" t="s">
        <v>288</v>
      </c>
      <c r="B93" s="5"/>
      <c r="C93" s="5"/>
      <c r="D93" s="5" t="s">
        <v>815</v>
      </c>
      <c r="E93" s="5" t="s">
        <v>816</v>
      </c>
      <c r="F93" s="5">
        <v>2.0</v>
      </c>
      <c r="G93" s="5" t="s">
        <v>558</v>
      </c>
      <c r="H93" s="5" t="s">
        <v>817</v>
      </c>
      <c r="I93" s="5" t="s">
        <v>285</v>
      </c>
      <c r="J93" s="5" t="s">
        <v>810</v>
      </c>
    </row>
    <row r="94" ht="15.75" customHeight="1">
      <c r="A94" s="5" t="s">
        <v>292</v>
      </c>
      <c r="B94" s="5"/>
      <c r="C94" s="5"/>
      <c r="D94" s="5" t="s">
        <v>818</v>
      </c>
      <c r="E94" s="5" t="s">
        <v>819</v>
      </c>
      <c r="F94" s="5">
        <v>2.0</v>
      </c>
      <c r="G94" s="5" t="s">
        <v>558</v>
      </c>
      <c r="H94" s="5" t="s">
        <v>820</v>
      </c>
      <c r="I94" s="5" t="s">
        <v>821</v>
      </c>
      <c r="J94" s="5" t="s">
        <v>810</v>
      </c>
    </row>
    <row r="95" ht="15.75" customHeight="1">
      <c r="A95" s="5" t="s">
        <v>299</v>
      </c>
      <c r="B95" s="5"/>
      <c r="C95" s="5"/>
      <c r="D95" s="5" t="s">
        <v>822</v>
      </c>
      <c r="E95" s="5" t="s">
        <v>823</v>
      </c>
      <c r="F95" s="5">
        <v>3.0</v>
      </c>
      <c r="G95" s="5" t="s">
        <v>558</v>
      </c>
      <c r="H95" s="5" t="s">
        <v>824</v>
      </c>
      <c r="I95" s="5" t="s">
        <v>825</v>
      </c>
      <c r="J95" s="5" t="s">
        <v>810</v>
      </c>
    </row>
    <row r="96" ht="15.75" customHeight="1">
      <c r="A96" s="5" t="s">
        <v>313</v>
      </c>
      <c r="B96" s="5"/>
      <c r="C96" s="5"/>
      <c r="D96" s="5" t="s">
        <v>311</v>
      </c>
      <c r="E96" s="5" t="s">
        <v>826</v>
      </c>
      <c r="F96" s="5">
        <v>2.0</v>
      </c>
      <c r="G96" s="5" t="s">
        <v>558</v>
      </c>
      <c r="H96" s="5" t="s">
        <v>311</v>
      </c>
      <c r="I96" s="5" t="s">
        <v>310</v>
      </c>
      <c r="J96" s="5" t="s">
        <v>810</v>
      </c>
    </row>
    <row r="97" ht="15.75" customHeight="1">
      <c r="A97" s="14" t="s">
        <v>827</v>
      </c>
      <c r="B97" s="14"/>
      <c r="C97" s="14" t="s">
        <v>828</v>
      </c>
      <c r="D97" s="14"/>
      <c r="E97" s="14"/>
      <c r="F97" s="14"/>
      <c r="G97" s="14"/>
      <c r="H97" s="14"/>
      <c r="I97" s="14"/>
      <c r="J97" s="14" t="s">
        <v>810</v>
      </c>
    </row>
    <row r="98" ht="15.75" customHeight="1">
      <c r="A98" s="5" t="s">
        <v>324</v>
      </c>
      <c r="B98" s="5"/>
      <c r="C98" s="5"/>
      <c r="D98" s="5" t="s">
        <v>829</v>
      </c>
      <c r="E98" s="5" t="s">
        <v>830</v>
      </c>
      <c r="F98" s="5">
        <v>4.0</v>
      </c>
      <c r="G98" s="5" t="s">
        <v>558</v>
      </c>
      <c r="H98" s="5" t="s">
        <v>831</v>
      </c>
      <c r="I98" s="5"/>
      <c r="J98" s="5" t="s">
        <v>810</v>
      </c>
    </row>
    <row r="99" ht="15.75" customHeight="1">
      <c r="A99" s="5" t="s">
        <v>336</v>
      </c>
      <c r="B99" s="5"/>
      <c r="C99" s="5"/>
      <c r="D99" s="5" t="s">
        <v>334</v>
      </c>
      <c r="E99" s="5" t="s">
        <v>832</v>
      </c>
      <c r="F99" s="5">
        <v>3.0</v>
      </c>
      <c r="G99" s="5" t="s">
        <v>558</v>
      </c>
      <c r="H99" s="5" t="s">
        <v>833</v>
      </c>
      <c r="I99" s="5" t="s">
        <v>333</v>
      </c>
      <c r="J99" s="5" t="s">
        <v>810</v>
      </c>
    </row>
    <row r="100" ht="15.75" customHeight="1">
      <c r="A100" s="5" t="s">
        <v>340</v>
      </c>
      <c r="B100" s="5"/>
      <c r="C100" s="5"/>
      <c r="D100" s="5" t="s">
        <v>834</v>
      </c>
      <c r="E100" s="5" t="s">
        <v>835</v>
      </c>
      <c r="F100" s="5">
        <v>2.0</v>
      </c>
      <c r="G100" s="5" t="s">
        <v>558</v>
      </c>
      <c r="H100" s="5" t="s">
        <v>836</v>
      </c>
      <c r="I100" s="5" t="s">
        <v>837</v>
      </c>
      <c r="J100" s="5" t="s">
        <v>810</v>
      </c>
    </row>
    <row r="101" ht="15.75" customHeight="1">
      <c r="A101" s="5" t="s">
        <v>344</v>
      </c>
      <c r="B101" s="5"/>
      <c r="C101" s="5"/>
      <c r="D101" s="5" t="s">
        <v>838</v>
      </c>
      <c r="E101" s="5" t="s">
        <v>839</v>
      </c>
      <c r="F101" s="5">
        <v>2.0</v>
      </c>
      <c r="G101" s="5" t="s">
        <v>558</v>
      </c>
      <c r="H101" s="5" t="s">
        <v>840</v>
      </c>
      <c r="I101" s="5" t="s">
        <v>841</v>
      </c>
      <c r="J101" s="5" t="s">
        <v>810</v>
      </c>
    </row>
    <row r="102" ht="15.75" customHeight="1">
      <c r="A102" s="5" t="s">
        <v>363</v>
      </c>
      <c r="B102" s="5"/>
      <c r="C102" s="5"/>
      <c r="D102" s="5" t="s">
        <v>842</v>
      </c>
      <c r="E102" s="5" t="s">
        <v>843</v>
      </c>
      <c r="F102" s="5">
        <v>2.0</v>
      </c>
      <c r="G102" s="5" t="s">
        <v>161</v>
      </c>
      <c r="H102" s="5" t="s">
        <v>844</v>
      </c>
      <c r="I102" s="5" t="s">
        <v>360</v>
      </c>
      <c r="J102" s="5" t="s">
        <v>810</v>
      </c>
    </row>
    <row r="103" ht="15.75" customHeight="1">
      <c r="A103" s="5" t="s">
        <v>367</v>
      </c>
      <c r="B103" s="5"/>
      <c r="C103" s="5"/>
      <c r="D103" s="5" t="s">
        <v>845</v>
      </c>
      <c r="E103" s="5" t="s">
        <v>846</v>
      </c>
      <c r="F103" s="5">
        <v>1.0</v>
      </c>
      <c r="G103" s="5" t="s">
        <v>558</v>
      </c>
      <c r="H103" s="5" t="s">
        <v>847</v>
      </c>
      <c r="I103" s="5" t="s">
        <v>848</v>
      </c>
      <c r="J103" s="5" t="s">
        <v>810</v>
      </c>
    </row>
    <row r="104" ht="15.75" customHeight="1">
      <c r="A104" s="5" t="s">
        <v>74</v>
      </c>
      <c r="B104" s="5"/>
      <c r="C104" s="5"/>
      <c r="D104" s="5" t="s">
        <v>849</v>
      </c>
      <c r="E104" s="5" t="s">
        <v>850</v>
      </c>
      <c r="F104" s="5">
        <v>2.0</v>
      </c>
      <c r="G104" s="5" t="s">
        <v>558</v>
      </c>
      <c r="H104" s="5" t="s">
        <v>851</v>
      </c>
      <c r="I104" s="5" t="s">
        <v>71</v>
      </c>
      <c r="J104" s="5" t="s">
        <v>810</v>
      </c>
    </row>
    <row r="105" ht="15.75" customHeight="1">
      <c r="A105" s="9"/>
      <c r="B105" s="9"/>
      <c r="C105" s="9"/>
      <c r="D105" s="9"/>
      <c r="E105" s="9" t="s">
        <v>852</v>
      </c>
      <c r="F105" s="9">
        <v>28.0</v>
      </c>
      <c r="G105" s="9"/>
      <c r="H105" s="9"/>
      <c r="I105" s="9"/>
      <c r="J105" s="9"/>
    </row>
    <row r="106" ht="15.75" customHeight="1">
      <c r="A106" s="19" t="s">
        <v>853</v>
      </c>
      <c r="B106" s="19" t="s">
        <v>854</v>
      </c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4" t="s">
        <v>855</v>
      </c>
      <c r="B107" s="14"/>
      <c r="C107" s="14" t="s">
        <v>856</v>
      </c>
      <c r="D107" s="14"/>
      <c r="E107" s="14"/>
      <c r="F107" s="14"/>
      <c r="G107" s="14"/>
      <c r="H107" s="14"/>
      <c r="I107" s="14"/>
      <c r="J107" s="14" t="s">
        <v>857</v>
      </c>
    </row>
    <row r="108" ht="15.75" customHeight="1">
      <c r="A108" s="5" t="s">
        <v>858</v>
      </c>
      <c r="B108" s="5"/>
      <c r="C108" s="5"/>
      <c r="D108" s="5" t="s">
        <v>859</v>
      </c>
      <c r="E108" s="5" t="s">
        <v>860</v>
      </c>
      <c r="F108" s="5">
        <v>4.0</v>
      </c>
      <c r="G108" s="5" t="s">
        <v>558</v>
      </c>
      <c r="H108" s="5" t="s">
        <v>861</v>
      </c>
      <c r="I108" s="5"/>
      <c r="J108" s="5" t="s">
        <v>857</v>
      </c>
    </row>
    <row r="109" ht="15.75" customHeight="1">
      <c r="A109" s="5" t="s">
        <v>862</v>
      </c>
      <c r="B109" s="5"/>
      <c r="C109" s="5"/>
      <c r="D109" s="5" t="s">
        <v>863</v>
      </c>
      <c r="E109" s="5" t="s">
        <v>864</v>
      </c>
      <c r="F109" s="5">
        <v>4.0</v>
      </c>
      <c r="G109" s="5" t="s">
        <v>558</v>
      </c>
      <c r="H109" s="5" t="s">
        <v>865</v>
      </c>
      <c r="I109" s="5"/>
      <c r="J109" s="5" t="s">
        <v>857</v>
      </c>
    </row>
    <row r="110" ht="15.75" customHeight="1">
      <c r="A110" s="5" t="s">
        <v>866</v>
      </c>
      <c r="B110" s="5"/>
      <c r="C110" s="5"/>
      <c r="D110" s="5" t="s">
        <v>867</v>
      </c>
      <c r="E110" s="5" t="s">
        <v>868</v>
      </c>
      <c r="F110" s="5">
        <v>3.0</v>
      </c>
      <c r="G110" s="5" t="s">
        <v>869</v>
      </c>
      <c r="H110" s="5" t="s">
        <v>870</v>
      </c>
      <c r="I110" s="5"/>
      <c r="J110" s="5" t="s">
        <v>857</v>
      </c>
    </row>
    <row r="111" ht="15.75" customHeight="1">
      <c r="A111" s="14" t="s">
        <v>871</v>
      </c>
      <c r="B111" s="14"/>
      <c r="C111" s="14" t="s">
        <v>872</v>
      </c>
      <c r="D111" s="14"/>
      <c r="E111" s="14"/>
      <c r="F111" s="14"/>
      <c r="G111" s="14"/>
      <c r="H111" s="14"/>
      <c r="I111" s="14"/>
      <c r="J111" s="14" t="s">
        <v>857</v>
      </c>
    </row>
    <row r="112" ht="15.75" customHeight="1">
      <c r="A112" s="5" t="s">
        <v>873</v>
      </c>
      <c r="B112" s="5"/>
      <c r="C112" s="5"/>
      <c r="D112" s="5" t="s">
        <v>874</v>
      </c>
      <c r="E112" s="5" t="s">
        <v>875</v>
      </c>
      <c r="F112" s="5">
        <v>3.0</v>
      </c>
      <c r="G112" s="5" t="s">
        <v>591</v>
      </c>
      <c r="H112" s="5" t="s">
        <v>876</v>
      </c>
      <c r="I112" s="5"/>
      <c r="J112" s="5" t="s">
        <v>857</v>
      </c>
    </row>
    <row r="113" ht="15.75" customHeight="1">
      <c r="A113" s="5" t="s">
        <v>877</v>
      </c>
      <c r="B113" s="5"/>
      <c r="C113" s="5"/>
      <c r="D113" s="5" t="s">
        <v>878</v>
      </c>
      <c r="E113" s="5" t="s">
        <v>879</v>
      </c>
      <c r="F113" s="5">
        <v>5.0</v>
      </c>
      <c r="G113" s="5" t="s">
        <v>558</v>
      </c>
      <c r="H113" s="5" t="s">
        <v>880</v>
      </c>
      <c r="I113" s="5"/>
      <c r="J113" s="5" t="s">
        <v>857</v>
      </c>
    </row>
    <row r="114" ht="15.75" customHeight="1">
      <c r="A114" s="5" t="s">
        <v>881</v>
      </c>
      <c r="B114" s="5"/>
      <c r="C114" s="5"/>
      <c r="D114" s="5" t="s">
        <v>882</v>
      </c>
      <c r="E114" s="5" t="s">
        <v>883</v>
      </c>
      <c r="F114" s="5">
        <v>2.0</v>
      </c>
      <c r="G114" s="5" t="s">
        <v>591</v>
      </c>
      <c r="H114" s="5" t="s">
        <v>884</v>
      </c>
      <c r="I114" s="5"/>
      <c r="J114" s="5" t="s">
        <v>857</v>
      </c>
    </row>
    <row r="115" ht="15.75" customHeight="1">
      <c r="A115" s="5" t="s">
        <v>885</v>
      </c>
      <c r="B115" s="5"/>
      <c r="C115" s="5"/>
      <c r="D115" s="5" t="s">
        <v>886</v>
      </c>
      <c r="E115" s="5" t="s">
        <v>887</v>
      </c>
      <c r="F115" s="5">
        <v>1.0</v>
      </c>
      <c r="G115" s="5" t="s">
        <v>591</v>
      </c>
      <c r="H115" s="5" t="s">
        <v>876</v>
      </c>
      <c r="I115" s="5"/>
      <c r="J115" s="5" t="s">
        <v>857</v>
      </c>
    </row>
    <row r="116" ht="15.75" customHeight="1">
      <c r="A116" s="14" t="s">
        <v>888</v>
      </c>
      <c r="B116" s="14"/>
      <c r="C116" s="14" t="s">
        <v>889</v>
      </c>
      <c r="D116" s="14"/>
      <c r="E116" s="14"/>
      <c r="F116" s="14"/>
      <c r="G116" s="14"/>
      <c r="H116" s="14"/>
      <c r="I116" s="14"/>
      <c r="J116" s="14" t="s">
        <v>857</v>
      </c>
    </row>
    <row r="117" ht="15.75" customHeight="1">
      <c r="A117" s="5" t="s">
        <v>890</v>
      </c>
      <c r="B117" s="5"/>
      <c r="C117" s="5"/>
      <c r="D117" s="5" t="s">
        <v>891</v>
      </c>
      <c r="E117" s="5" t="s">
        <v>892</v>
      </c>
      <c r="F117" s="5">
        <v>2.0</v>
      </c>
      <c r="G117" s="5" t="s">
        <v>591</v>
      </c>
      <c r="H117" s="5" t="s">
        <v>891</v>
      </c>
      <c r="I117" s="5"/>
      <c r="J117" s="5" t="s">
        <v>857</v>
      </c>
    </row>
    <row r="118" ht="15.75" customHeight="1">
      <c r="A118" s="5" t="s">
        <v>893</v>
      </c>
      <c r="B118" s="5"/>
      <c r="C118" s="5"/>
      <c r="D118" s="5" t="s">
        <v>894</v>
      </c>
      <c r="E118" s="5" t="s">
        <v>895</v>
      </c>
      <c r="F118" s="5">
        <v>1.0</v>
      </c>
      <c r="G118" s="5" t="s">
        <v>558</v>
      </c>
      <c r="H118" s="5" t="s">
        <v>896</v>
      </c>
      <c r="I118" s="5"/>
      <c r="J118" s="5" t="s">
        <v>857</v>
      </c>
    </row>
    <row r="119" ht="15.75" customHeight="1">
      <c r="A119" s="5" t="s">
        <v>897</v>
      </c>
      <c r="B119" s="5"/>
      <c r="C119" s="5"/>
      <c r="D119" s="5" t="s">
        <v>898</v>
      </c>
      <c r="E119" s="5" t="s">
        <v>899</v>
      </c>
      <c r="F119" s="5">
        <v>2.0</v>
      </c>
      <c r="G119" s="5" t="s">
        <v>549</v>
      </c>
      <c r="H119" s="5" t="s">
        <v>900</v>
      </c>
      <c r="I119" s="5"/>
      <c r="J119" s="5" t="s">
        <v>857</v>
      </c>
    </row>
    <row r="120" ht="15.75" customHeight="1">
      <c r="A120" s="9"/>
      <c r="B120" s="9"/>
      <c r="C120" s="9"/>
      <c r="D120" s="9"/>
      <c r="E120" s="9" t="s">
        <v>901</v>
      </c>
      <c r="F120" s="9">
        <v>27.0</v>
      </c>
      <c r="G120" s="9"/>
      <c r="H120" s="9"/>
      <c r="I120" s="9"/>
      <c r="J120" s="9"/>
    </row>
    <row r="121" ht="15.75" customHeight="1">
      <c r="A121" s="20" t="s">
        <v>902</v>
      </c>
      <c r="B121" s="20" t="s">
        <v>903</v>
      </c>
      <c r="C121" s="20"/>
      <c r="D121" s="20"/>
      <c r="E121" s="20"/>
      <c r="F121" s="20"/>
      <c r="G121" s="20"/>
      <c r="H121" s="20"/>
      <c r="I121" s="20"/>
      <c r="J121" s="20"/>
    </row>
    <row r="122" ht="15.75" customHeight="1">
      <c r="A122" s="14" t="s">
        <v>904</v>
      </c>
      <c r="B122" s="14"/>
      <c r="C122" s="14" t="s">
        <v>905</v>
      </c>
      <c r="D122" s="14"/>
      <c r="E122" s="14" t="s">
        <v>906</v>
      </c>
      <c r="F122" s="14">
        <v>6.0</v>
      </c>
      <c r="G122" s="14" t="s">
        <v>42</v>
      </c>
      <c r="H122" s="14"/>
      <c r="I122" s="14"/>
      <c r="J122" s="14" t="s">
        <v>907</v>
      </c>
    </row>
    <row r="123" ht="15.75" customHeight="1">
      <c r="A123" s="14" t="s">
        <v>908</v>
      </c>
      <c r="B123" s="14"/>
      <c r="C123" s="14" t="s">
        <v>909</v>
      </c>
      <c r="D123" s="14"/>
      <c r="E123" s="14" t="s">
        <v>910</v>
      </c>
      <c r="F123" s="14">
        <v>4.0</v>
      </c>
      <c r="G123" s="14" t="s">
        <v>42</v>
      </c>
      <c r="H123" s="14"/>
      <c r="I123" s="14"/>
      <c r="J123" s="14" t="s">
        <v>907</v>
      </c>
    </row>
    <row r="124" ht="15.75" customHeight="1">
      <c r="A124" s="14" t="s">
        <v>911</v>
      </c>
      <c r="B124" s="14"/>
      <c r="C124" s="14" t="s">
        <v>912</v>
      </c>
      <c r="D124" s="14"/>
      <c r="E124" s="14" t="s">
        <v>913</v>
      </c>
      <c r="F124" s="14">
        <v>6.0</v>
      </c>
      <c r="G124" s="14" t="s">
        <v>42</v>
      </c>
      <c r="H124" s="14"/>
      <c r="I124" s="14"/>
      <c r="J124" s="14" t="s">
        <v>907</v>
      </c>
    </row>
    <row r="125" ht="15.75" customHeight="1">
      <c r="A125" s="9"/>
      <c r="B125" s="9"/>
      <c r="C125" s="9"/>
      <c r="D125" s="9"/>
      <c r="E125" s="9" t="s">
        <v>914</v>
      </c>
      <c r="F125" s="9">
        <v>16.0</v>
      </c>
      <c r="G125" s="9"/>
      <c r="H125" s="9"/>
      <c r="I125" s="9"/>
      <c r="J125" s="9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9"/>
      <c r="B127" s="9"/>
      <c r="C127" s="9"/>
      <c r="D127" s="9"/>
      <c r="E127" s="9" t="s">
        <v>915</v>
      </c>
      <c r="F127" s="9"/>
      <c r="G127" s="9"/>
      <c r="H127" s="9"/>
      <c r="I127" s="9"/>
      <c r="J127" s="9"/>
    </row>
    <row r="128" ht="15.75" customHeight="1">
      <c r="A128" s="5"/>
      <c r="B128" s="5"/>
      <c r="C128" s="5"/>
      <c r="D128" s="5"/>
      <c r="E128" s="5" t="s">
        <v>916</v>
      </c>
      <c r="F128" s="5">
        <v>19.0</v>
      </c>
      <c r="G128" s="5"/>
      <c r="H128" s="5"/>
      <c r="I128" s="5"/>
      <c r="J128" s="5"/>
    </row>
    <row r="129" ht="15.75" customHeight="1">
      <c r="A129" s="5"/>
      <c r="B129" s="5"/>
      <c r="C129" s="5"/>
      <c r="D129" s="5"/>
      <c r="E129" s="5" t="s">
        <v>917</v>
      </c>
      <c r="F129" s="5">
        <v>27.0</v>
      </c>
      <c r="G129" s="5"/>
      <c r="H129" s="5"/>
      <c r="I129" s="5"/>
      <c r="J129" s="5"/>
    </row>
    <row r="130" ht="15.75" customHeight="1">
      <c r="A130" s="5"/>
      <c r="B130" s="5"/>
      <c r="C130" s="5"/>
      <c r="D130" s="5"/>
      <c r="E130" s="5" t="s">
        <v>918</v>
      </c>
      <c r="F130" s="5">
        <v>38.0</v>
      </c>
      <c r="G130" s="5"/>
      <c r="H130" s="5"/>
      <c r="I130" s="5"/>
      <c r="J130" s="5"/>
    </row>
    <row r="131" ht="15.75" customHeight="1">
      <c r="A131" s="5"/>
      <c r="B131" s="5"/>
      <c r="C131" s="5"/>
      <c r="D131" s="5"/>
      <c r="E131" s="5" t="s">
        <v>919</v>
      </c>
      <c r="F131" s="5">
        <v>24.0</v>
      </c>
      <c r="G131" s="5"/>
      <c r="H131" s="5"/>
      <c r="I131" s="5"/>
      <c r="J131" s="5"/>
    </row>
    <row r="132" ht="15.75" customHeight="1">
      <c r="A132" s="5"/>
      <c r="B132" s="5"/>
      <c r="C132" s="5"/>
      <c r="D132" s="5"/>
      <c r="E132" s="5" t="s">
        <v>920</v>
      </c>
      <c r="F132" s="5">
        <v>24.0</v>
      </c>
      <c r="G132" s="5"/>
      <c r="H132" s="5"/>
      <c r="I132" s="5"/>
      <c r="J132" s="5"/>
    </row>
    <row r="133" ht="15.75" customHeight="1">
      <c r="A133" s="5"/>
      <c r="B133" s="5"/>
      <c r="C133" s="5"/>
      <c r="D133" s="5"/>
      <c r="E133" s="5" t="s">
        <v>921</v>
      </c>
      <c r="F133" s="5">
        <v>28.0</v>
      </c>
      <c r="G133" s="5"/>
      <c r="H133" s="5"/>
      <c r="I133" s="5"/>
      <c r="J133" s="5"/>
    </row>
    <row r="134" ht="15.75" customHeight="1">
      <c r="A134" s="5"/>
      <c r="B134" s="5"/>
      <c r="C134" s="5"/>
      <c r="D134" s="5"/>
      <c r="E134" s="5" t="s">
        <v>922</v>
      </c>
      <c r="F134" s="5">
        <v>27.0</v>
      </c>
      <c r="G134" s="5"/>
      <c r="H134" s="5"/>
      <c r="I134" s="5"/>
      <c r="J134" s="5"/>
    </row>
    <row r="135" ht="15.75" customHeight="1">
      <c r="A135" s="9"/>
      <c r="B135" s="9"/>
      <c r="C135" s="9"/>
      <c r="D135" s="9"/>
      <c r="E135" s="9" t="s">
        <v>923</v>
      </c>
      <c r="F135" s="9"/>
      <c r="G135" s="9"/>
      <c r="H135" s="9"/>
      <c r="I135" s="9"/>
      <c r="J135" s="9"/>
    </row>
    <row r="136" ht="15.75" customHeight="1">
      <c r="A136" s="9"/>
      <c r="B136" s="9"/>
      <c r="C136" s="9"/>
      <c r="D136" s="9"/>
      <c r="E136" s="9" t="s">
        <v>924</v>
      </c>
      <c r="F136" s="9">
        <v>187.0</v>
      </c>
      <c r="G136" s="9" t="str">
        <f>SUM(S0:S6) = 19+27+38+24+24+28+27</f>
        <v>#ERROR!</v>
      </c>
      <c r="H136" s="9"/>
      <c r="I136" s="9" t="str">
        <f>SUM(S0:S6) = 19+27+36+24+24+28+27</f>
        <v>#ERROR!</v>
      </c>
      <c r="J136" s="9"/>
    </row>
    <row r="137" ht="15.75" customHeight="1">
      <c r="A137" s="5"/>
      <c r="B137" s="5"/>
      <c r="C137" s="5"/>
      <c r="D137" s="5"/>
      <c r="E137" s="5" t="s">
        <v>903</v>
      </c>
      <c r="F137" s="5">
        <v>16.0</v>
      </c>
      <c r="G137" s="5"/>
      <c r="H137" s="5"/>
      <c r="I137" s="5" t="s">
        <v>925</v>
      </c>
      <c r="J137" s="5"/>
    </row>
    <row r="138" ht="15.75" customHeight="1">
      <c r="A138" s="9"/>
      <c r="B138" s="9"/>
      <c r="C138" s="9"/>
      <c r="D138" s="9"/>
      <c r="E138" s="9" t="s">
        <v>926</v>
      </c>
      <c r="F138" s="9">
        <v>203.0</v>
      </c>
      <c r="G138" s="9"/>
      <c r="H138" s="9"/>
      <c r="I138" s="9"/>
      <c r="J138" s="9"/>
    </row>
    <row r="139" ht="15.75" customHeight="1">
      <c r="A139" s="9"/>
      <c r="B139" s="9"/>
      <c r="C139" s="9"/>
      <c r="D139" s="9"/>
      <c r="E139" s="9" t="s">
        <v>927</v>
      </c>
      <c r="F139" s="9">
        <v>37.0</v>
      </c>
      <c r="G139" s="9"/>
      <c r="H139" s="9"/>
      <c r="I139" s="9" t="s">
        <v>928</v>
      </c>
      <c r="J139" s="9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8.0"/>
    <col customWidth="1" min="4" max="4" width="56.0"/>
    <col customWidth="1" min="5" max="5" width="30.0"/>
    <col customWidth="1" min="6" max="6" width="22.0"/>
    <col customWidth="1" min="7" max="26" width="8.71"/>
  </cols>
  <sheetData>
    <row r="1">
      <c r="A1" s="3" t="s">
        <v>540</v>
      </c>
      <c r="B1" s="3" t="s">
        <v>929</v>
      </c>
      <c r="C1" s="3" t="s">
        <v>537</v>
      </c>
      <c r="D1" s="3" t="s">
        <v>930</v>
      </c>
      <c r="E1" s="3" t="s">
        <v>931</v>
      </c>
      <c r="F1" s="3" t="s">
        <v>932</v>
      </c>
    </row>
    <row r="2" ht="79.5" customHeight="1">
      <c r="A2" s="5" t="s">
        <v>545</v>
      </c>
      <c r="B2" s="5" t="s">
        <v>933</v>
      </c>
      <c r="C2" s="5" t="s">
        <v>934</v>
      </c>
      <c r="D2" s="5" t="s">
        <v>935</v>
      </c>
      <c r="E2" s="5" t="s">
        <v>936</v>
      </c>
      <c r="F2" s="5" t="s">
        <v>937</v>
      </c>
    </row>
    <row r="3" ht="79.5" customHeight="1">
      <c r="A3" s="5" t="s">
        <v>604</v>
      </c>
      <c r="B3" s="5" t="s">
        <v>938</v>
      </c>
      <c r="C3" s="5" t="s">
        <v>939</v>
      </c>
      <c r="D3" s="5" t="s">
        <v>940</v>
      </c>
      <c r="E3" s="5" t="s">
        <v>941</v>
      </c>
      <c r="F3" s="5" t="s">
        <v>942</v>
      </c>
    </row>
    <row r="4" ht="79.5" customHeight="1">
      <c r="A4" s="5" t="s">
        <v>670</v>
      </c>
      <c r="B4" s="5" t="s">
        <v>943</v>
      </c>
      <c r="C4" s="5" t="s">
        <v>944</v>
      </c>
      <c r="D4" s="5" t="s">
        <v>945</v>
      </c>
      <c r="E4" s="5" t="s">
        <v>946</v>
      </c>
      <c r="F4" s="5" t="s">
        <v>947</v>
      </c>
    </row>
    <row r="5" ht="79.5" customHeight="1">
      <c r="A5" s="5" t="s">
        <v>722</v>
      </c>
      <c r="B5" s="5" t="s">
        <v>948</v>
      </c>
      <c r="C5" s="5" t="s">
        <v>949</v>
      </c>
      <c r="D5" s="5" t="s">
        <v>950</v>
      </c>
      <c r="E5" s="5" t="s">
        <v>951</v>
      </c>
      <c r="F5" s="5" t="s">
        <v>952</v>
      </c>
    </row>
    <row r="6" ht="79.5" customHeight="1">
      <c r="A6" s="5" t="s">
        <v>774</v>
      </c>
      <c r="B6" s="5" t="s">
        <v>953</v>
      </c>
      <c r="C6" s="5" t="s">
        <v>949</v>
      </c>
      <c r="D6" s="5" t="s">
        <v>954</v>
      </c>
      <c r="E6" s="5" t="s">
        <v>955</v>
      </c>
      <c r="F6" s="5" t="s">
        <v>956</v>
      </c>
    </row>
    <row r="7" ht="79.5" customHeight="1">
      <c r="A7" s="5" t="s">
        <v>810</v>
      </c>
      <c r="B7" s="5" t="s">
        <v>957</v>
      </c>
      <c r="C7" s="5" t="s">
        <v>958</v>
      </c>
      <c r="D7" s="5" t="s">
        <v>959</v>
      </c>
      <c r="E7" s="5" t="s">
        <v>960</v>
      </c>
      <c r="F7" s="5" t="s">
        <v>961</v>
      </c>
    </row>
    <row r="8" ht="79.5" customHeight="1">
      <c r="A8" s="5" t="s">
        <v>857</v>
      </c>
      <c r="B8" s="5" t="s">
        <v>962</v>
      </c>
      <c r="C8" s="5" t="s">
        <v>939</v>
      </c>
      <c r="D8" s="5" t="s">
        <v>963</v>
      </c>
      <c r="E8" s="5" t="s">
        <v>964</v>
      </c>
      <c r="F8" s="5" t="s">
        <v>965</v>
      </c>
    </row>
    <row r="9" ht="79.5" customHeight="1">
      <c r="A9" s="9" t="s">
        <v>907</v>
      </c>
      <c r="B9" s="9" t="s">
        <v>966</v>
      </c>
      <c r="C9" s="9" t="s">
        <v>967</v>
      </c>
      <c r="D9" s="9" t="s">
        <v>968</v>
      </c>
      <c r="E9" s="9" t="s">
        <v>42</v>
      </c>
      <c r="F9" s="9" t="s">
        <v>42</v>
      </c>
    </row>
    <row r="10" ht="79.5" customHeight="1">
      <c r="A10" s="5"/>
      <c r="B10" s="5"/>
      <c r="C10" s="5"/>
      <c r="D10" s="5"/>
      <c r="E10" s="5"/>
      <c r="F10" s="5"/>
    </row>
    <row r="11" ht="79.5" customHeight="1">
      <c r="A11" s="9" t="s">
        <v>969</v>
      </c>
      <c r="B11" s="9" t="s">
        <v>970</v>
      </c>
      <c r="C11" s="9" t="s">
        <v>971</v>
      </c>
      <c r="D11" s="9" t="s">
        <v>972</v>
      </c>
      <c r="E11" s="9" t="s">
        <v>973</v>
      </c>
      <c r="F11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32.0"/>
    <col customWidth="1" min="4" max="4" width="42.0"/>
    <col customWidth="1" min="5" max="5" width="24.0"/>
    <col customWidth="1" min="6" max="26" width="8.71"/>
  </cols>
  <sheetData>
    <row r="1">
      <c r="A1" s="3" t="s">
        <v>974</v>
      </c>
      <c r="B1" s="3" t="s">
        <v>439</v>
      </c>
      <c r="C1" s="3" t="s">
        <v>975</v>
      </c>
      <c r="D1" s="3" t="s">
        <v>976</v>
      </c>
      <c r="E1" s="3" t="s">
        <v>977</v>
      </c>
    </row>
    <row r="2" ht="64.5" customHeight="1">
      <c r="A2" s="5" t="s">
        <v>978</v>
      </c>
      <c r="B2" s="5" t="s">
        <v>979</v>
      </c>
      <c r="C2" s="5" t="s">
        <v>980</v>
      </c>
      <c r="D2" s="5" t="s">
        <v>981</v>
      </c>
      <c r="E2" s="5" t="s">
        <v>982</v>
      </c>
    </row>
    <row r="3" ht="64.5" customHeight="1">
      <c r="A3" s="5" t="s">
        <v>983</v>
      </c>
      <c r="B3" s="5" t="s">
        <v>984</v>
      </c>
      <c r="C3" s="5" t="s">
        <v>985</v>
      </c>
      <c r="D3" s="5" t="s">
        <v>986</v>
      </c>
      <c r="E3" s="5" t="s">
        <v>987</v>
      </c>
    </row>
    <row r="4" ht="64.5" customHeight="1">
      <c r="A4" s="5" t="s">
        <v>988</v>
      </c>
      <c r="B4" s="5" t="s">
        <v>989</v>
      </c>
      <c r="C4" s="5" t="s">
        <v>990</v>
      </c>
      <c r="D4" s="5" t="s">
        <v>991</v>
      </c>
      <c r="E4" s="5" t="s">
        <v>992</v>
      </c>
    </row>
    <row r="5" ht="64.5" customHeight="1">
      <c r="A5" s="5" t="s">
        <v>993</v>
      </c>
      <c r="B5" s="5" t="s">
        <v>994</v>
      </c>
      <c r="C5" s="5" t="s">
        <v>995</v>
      </c>
      <c r="D5" s="5" t="s">
        <v>996</v>
      </c>
      <c r="E5" s="5" t="s">
        <v>997</v>
      </c>
    </row>
    <row r="6" ht="64.5" customHeight="1">
      <c r="A6" s="5" t="s">
        <v>998</v>
      </c>
      <c r="B6" s="5" t="s">
        <v>999</v>
      </c>
      <c r="C6" s="5" t="s">
        <v>1000</v>
      </c>
      <c r="D6" s="5" t="s">
        <v>1001</v>
      </c>
      <c r="E6" s="5" t="s">
        <v>1002</v>
      </c>
    </row>
    <row r="7" ht="64.5" customHeight="1">
      <c r="A7" s="5" t="s">
        <v>1003</v>
      </c>
      <c r="B7" s="5" t="s">
        <v>1004</v>
      </c>
      <c r="C7" s="5" t="s">
        <v>1005</v>
      </c>
      <c r="D7" s="5" t="s">
        <v>42</v>
      </c>
      <c r="E7" s="5" t="s">
        <v>1006</v>
      </c>
    </row>
    <row r="8" ht="64.5" customHeight="1">
      <c r="A8" s="5" t="s">
        <v>1007</v>
      </c>
      <c r="B8" s="5" t="s">
        <v>1008</v>
      </c>
      <c r="C8" s="5" t="s">
        <v>1009</v>
      </c>
      <c r="D8" s="5" t="s">
        <v>42</v>
      </c>
      <c r="E8" s="5" t="s">
        <v>1010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3" width="90.0"/>
    <col customWidth="1" min="4" max="26" width="8.71"/>
  </cols>
  <sheetData>
    <row r="1">
      <c r="A1" s="3" t="s">
        <v>1011</v>
      </c>
      <c r="B1" s="3" t="s">
        <v>1012</v>
      </c>
      <c r="C1" s="3" t="s">
        <v>1013</v>
      </c>
    </row>
    <row r="2" ht="39.75" customHeight="1">
      <c r="A2" s="5">
        <v>1.0</v>
      </c>
      <c r="B2" s="5" t="s">
        <v>1014</v>
      </c>
      <c r="C2" s="5" t="s">
        <v>1015</v>
      </c>
    </row>
    <row r="3" ht="39.75" customHeight="1">
      <c r="A3" s="5">
        <v>2.0</v>
      </c>
      <c r="B3" s="5" t="s">
        <v>1016</v>
      </c>
      <c r="C3" s="5" t="s">
        <v>1017</v>
      </c>
    </row>
    <row r="4" ht="39.75" customHeight="1">
      <c r="A4" s="5">
        <v>3.0</v>
      </c>
      <c r="B4" s="5" t="s">
        <v>1018</v>
      </c>
      <c r="C4" s="5" t="s">
        <v>1019</v>
      </c>
    </row>
    <row r="5" ht="39.75" customHeight="1">
      <c r="A5" s="5">
        <v>4.0</v>
      </c>
      <c r="B5" s="5" t="s">
        <v>1020</v>
      </c>
      <c r="C5" s="5" t="s">
        <v>1021</v>
      </c>
    </row>
    <row r="6" ht="39.75" customHeight="1">
      <c r="A6" s="5">
        <v>5.0</v>
      </c>
      <c r="B6" s="5" t="s">
        <v>1022</v>
      </c>
      <c r="C6" s="5" t="s">
        <v>1023</v>
      </c>
    </row>
    <row r="7" ht="39.75" customHeight="1">
      <c r="A7" s="5">
        <v>6.0</v>
      </c>
      <c r="B7" s="5" t="s">
        <v>1024</v>
      </c>
      <c r="C7" s="5" t="s">
        <v>1025</v>
      </c>
    </row>
    <row r="8" ht="39.75" customHeight="1">
      <c r="A8" s="5">
        <v>7.0</v>
      </c>
      <c r="B8" s="5" t="s">
        <v>1026</v>
      </c>
      <c r="C8" s="5" t="s">
        <v>1027</v>
      </c>
    </row>
    <row r="9" ht="39.75" customHeight="1">
      <c r="A9" s="5">
        <v>8.0</v>
      </c>
      <c r="B9" s="5" t="s">
        <v>1028</v>
      </c>
      <c r="C9" s="5" t="s">
        <v>1029</v>
      </c>
    </row>
    <row r="10" ht="39.75" customHeight="1">
      <c r="A10" s="5">
        <v>9.0</v>
      </c>
      <c r="B10" s="5" t="s">
        <v>1030</v>
      </c>
      <c r="C10" s="5" t="s">
        <v>1031</v>
      </c>
    </row>
    <row r="11" ht="39.75" customHeight="1">
      <c r="A11" s="5">
        <v>10.0</v>
      </c>
      <c r="B11" s="5" t="s">
        <v>831</v>
      </c>
      <c r="C11" s="5" t="s">
        <v>1032</v>
      </c>
    </row>
    <row r="12" ht="39.75" customHeight="1">
      <c r="A12" s="5">
        <v>11.0</v>
      </c>
      <c r="B12" s="5" t="s">
        <v>1033</v>
      </c>
      <c r="C12" s="5" t="s">
        <v>1034</v>
      </c>
    </row>
    <row r="13" ht="39.75" customHeight="1">
      <c r="A13" s="5">
        <v>12.0</v>
      </c>
      <c r="B13" s="5" t="s">
        <v>1035</v>
      </c>
      <c r="C13" s="5" t="s">
        <v>1036</v>
      </c>
    </row>
    <row r="14" ht="39.75" customHeight="1">
      <c r="A14" s="5">
        <v>13.0</v>
      </c>
      <c r="B14" s="5" t="s">
        <v>1037</v>
      </c>
      <c r="C14" s="5" t="s">
        <v>1038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2.0"/>
    <col customWidth="1" min="3" max="3" width="46.0"/>
    <col customWidth="1" min="4" max="4" width="16.0"/>
    <col customWidth="1" min="5" max="26" width="8.71"/>
  </cols>
  <sheetData>
    <row r="1">
      <c r="A1" s="3" t="s">
        <v>1039</v>
      </c>
      <c r="B1" s="3" t="s">
        <v>1040</v>
      </c>
      <c r="C1" s="3" t="s">
        <v>1041</v>
      </c>
      <c r="D1" s="3" t="s">
        <v>1042</v>
      </c>
    </row>
    <row r="2">
      <c r="A2" s="5" t="s">
        <v>1043</v>
      </c>
      <c r="B2" s="5" t="s">
        <v>1044</v>
      </c>
      <c r="C2" s="5" t="s">
        <v>1045</v>
      </c>
      <c r="D2" s="5" t="s">
        <v>1046</v>
      </c>
    </row>
    <row r="3">
      <c r="A3" s="5" t="s">
        <v>1047</v>
      </c>
      <c r="B3" s="5" t="s">
        <v>1048</v>
      </c>
      <c r="C3" s="5" t="s">
        <v>1049</v>
      </c>
      <c r="D3" s="5" t="s">
        <v>1050</v>
      </c>
    </row>
    <row r="4">
      <c r="A4" s="5" t="s">
        <v>1051</v>
      </c>
      <c r="B4" s="5" t="s">
        <v>339</v>
      </c>
      <c r="C4" s="5" t="s">
        <v>1052</v>
      </c>
      <c r="D4" s="5" t="s">
        <v>1050</v>
      </c>
    </row>
    <row r="5">
      <c r="A5" s="5" t="s">
        <v>1053</v>
      </c>
      <c r="B5" s="5" t="s">
        <v>1054</v>
      </c>
      <c r="C5" s="5" t="s">
        <v>1055</v>
      </c>
      <c r="D5" s="5" t="s">
        <v>1056</v>
      </c>
    </row>
    <row r="6">
      <c r="A6" s="5" t="s">
        <v>1057</v>
      </c>
      <c r="B6" s="5" t="s">
        <v>1058</v>
      </c>
      <c r="C6" s="5" t="s">
        <v>1059</v>
      </c>
      <c r="D6" s="5" t="s">
        <v>1056</v>
      </c>
    </row>
    <row r="7">
      <c r="A7" s="5" t="s">
        <v>1060</v>
      </c>
      <c r="B7" s="5" t="s">
        <v>1061</v>
      </c>
      <c r="C7" s="5" t="s">
        <v>1062</v>
      </c>
      <c r="D7" s="5" t="s">
        <v>1056</v>
      </c>
    </row>
    <row r="8">
      <c r="A8" s="5" t="s">
        <v>1063</v>
      </c>
      <c r="B8" s="21" t="s">
        <v>1064</v>
      </c>
      <c r="C8" s="5" t="s">
        <v>1065</v>
      </c>
      <c r="D8" s="5" t="s">
        <v>1066</v>
      </c>
    </row>
    <row r="9">
      <c r="A9" s="5" t="s">
        <v>1067</v>
      </c>
      <c r="B9" s="21" t="s">
        <v>1068</v>
      </c>
      <c r="C9" s="5" t="s">
        <v>1069</v>
      </c>
      <c r="D9" s="5" t="s">
        <v>1056</v>
      </c>
    </row>
    <row r="10">
      <c r="A10" s="5" t="s">
        <v>1070</v>
      </c>
      <c r="B10" s="21" t="s">
        <v>77</v>
      </c>
      <c r="C10" s="5" t="s">
        <v>1071</v>
      </c>
      <c r="D10" s="5" t="s">
        <v>1056</v>
      </c>
    </row>
    <row r="11">
      <c r="A11" s="5" t="s">
        <v>1072</v>
      </c>
      <c r="B11" s="5" t="s">
        <v>1073</v>
      </c>
      <c r="C11" s="5" t="s">
        <v>1074</v>
      </c>
      <c r="D11" s="5" t="s">
        <v>1056</v>
      </c>
    </row>
    <row r="12">
      <c r="A12" s="5" t="s">
        <v>1075</v>
      </c>
      <c r="B12" s="5" t="s">
        <v>1076</v>
      </c>
      <c r="C12" s="5" t="s">
        <v>1077</v>
      </c>
      <c r="D12" s="5" t="s">
        <v>1056</v>
      </c>
    </row>
    <row r="13">
      <c r="A13" s="5" t="s">
        <v>1078</v>
      </c>
      <c r="B13" s="5" t="s">
        <v>1079</v>
      </c>
      <c r="C13" s="5" t="s">
        <v>1080</v>
      </c>
      <c r="D13" s="5" t="s">
        <v>42</v>
      </c>
    </row>
    <row r="14">
      <c r="A14" s="5" t="s">
        <v>1081</v>
      </c>
      <c r="B14" s="5" t="s">
        <v>1082</v>
      </c>
      <c r="C14" s="5" t="s">
        <v>1083</v>
      </c>
      <c r="D14" s="5" t="s">
        <v>1056</v>
      </c>
    </row>
    <row r="15">
      <c r="A15" s="5" t="s">
        <v>597</v>
      </c>
      <c r="B15" s="5" t="s">
        <v>1084</v>
      </c>
      <c r="C15" s="5" t="s">
        <v>1085</v>
      </c>
      <c r="D15" s="5" t="s">
        <v>1056</v>
      </c>
    </row>
    <row r="16">
      <c r="A16" s="5" t="s">
        <v>780</v>
      </c>
      <c r="B16" s="5" t="s">
        <v>1086</v>
      </c>
      <c r="C16" s="5" t="s">
        <v>1087</v>
      </c>
      <c r="D16" s="5" t="s">
        <v>1056</v>
      </c>
    </row>
    <row r="17">
      <c r="A17" s="5" t="s">
        <v>1088</v>
      </c>
      <c r="B17" s="5" t="s">
        <v>1089</v>
      </c>
      <c r="C17" s="5" t="s">
        <v>1090</v>
      </c>
      <c r="D17" s="5" t="s">
        <v>42</v>
      </c>
    </row>
    <row r="18">
      <c r="A18" s="5" t="s">
        <v>1091</v>
      </c>
      <c r="B18" s="21" t="s">
        <v>1092</v>
      </c>
      <c r="C18" s="5" t="s">
        <v>1093</v>
      </c>
      <c r="D18" s="5" t="s">
        <v>1094</v>
      </c>
    </row>
    <row r="19">
      <c r="A19" s="5" t="s">
        <v>418</v>
      </c>
      <c r="B19" s="21" t="s">
        <v>1095</v>
      </c>
      <c r="C19" s="5" t="s">
        <v>1096</v>
      </c>
      <c r="D19" s="5" t="s">
        <v>1094</v>
      </c>
    </row>
    <row r="20">
      <c r="A20" s="5" t="s">
        <v>422</v>
      </c>
      <c r="B20" s="21" t="s">
        <v>1097</v>
      </c>
      <c r="C20" s="5" t="s">
        <v>1098</v>
      </c>
      <c r="D20" s="5" t="s">
        <v>1094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2026-02-12T06:46:00Z</dcterms:created>
  <dc:creator>openpyxl</dc:creator>
</cp:coreProperties>
</file>