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Model" sheetId="1" state="visible" r:id="rId1"/>
    <sheet xmlns:r="http://schemas.openxmlformats.org/officeDocument/2006/relationships" name="AsOf" sheetId="2" state="visible" r:id="rId2"/>
  </sheets>
  <definedNames>
    <definedName name="_xlnm._FilterDatabase" localSheetId="1" hidden="1">'AsOf'!$A$1:$B$5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164" fontId="3" fillId="0" borderId="1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45" customWidth="1" min="8" max="8"/>
    <col width="30" customWidth="1" min="9" max="9"/>
  </cols>
  <sheetData>
    <row r="1">
      <c r="A1" s="1" t="inlineStr">
        <is>
          <t>Service</t>
        </is>
      </c>
      <c r="B1" s="1" t="inlineStr">
        <is>
          <t>Plan/Tier</t>
        </is>
      </c>
      <c r="C1" s="1" t="inlineStr">
        <is>
          <t>課金単位</t>
        </is>
      </c>
      <c r="D1" s="1" t="inlineStr">
        <is>
          <t>単価(USD)</t>
        </is>
      </c>
      <c r="E1" s="1" t="inlineStr">
        <is>
          <t>想定使用量</t>
        </is>
      </c>
      <c r="F1" s="1" t="inlineStr">
        <is>
          <t>月額(USD)</t>
        </is>
      </c>
      <c r="G1" s="1" t="inlineStr">
        <is>
          <t>年額(USD)</t>
        </is>
      </c>
      <c r="H1" s="1" t="inlineStr">
        <is>
          <t>公式URL</t>
        </is>
      </c>
      <c r="I1" s="1" t="inlineStr">
        <is>
          <t>備考</t>
        </is>
      </c>
    </row>
    <row r="2">
      <c r="A2" s="2" t="inlineStr">
        <is>
          <t>Vercel</t>
        </is>
      </c>
      <c r="B2" s="2" t="inlineStr">
        <is>
          <t>Pro</t>
        </is>
      </c>
      <c r="C2" s="2" t="inlineStr">
        <is>
          <t>per seat/month</t>
        </is>
      </c>
      <c r="D2" s="3" t="n">
        <v>20</v>
      </c>
      <c r="E2" s="2" t="n">
        <v>1</v>
      </c>
      <c r="F2" s="2">
        <f>D2*E2</f>
        <v/>
      </c>
      <c r="G2" s="2">
        <f>F2*12</f>
        <v/>
      </c>
      <c r="H2" s="2" t="inlineStr">
        <is>
          <t>https://vercel.com/pricing</t>
        </is>
      </c>
      <c r="I2" s="2" t="inlineStr">
        <is>
          <t>$20/席 + 従量(帯域/実行時間)。$20クレジット含む</t>
        </is>
      </c>
    </row>
    <row r="3">
      <c r="A3" s="2" t="inlineStr">
        <is>
          <t>Supabase</t>
        </is>
      </c>
      <c r="B3" s="2" t="inlineStr">
        <is>
          <t>Pro</t>
        </is>
      </c>
      <c r="C3" s="2" t="inlineStr">
        <is>
          <t>per project/month</t>
        </is>
      </c>
      <c r="D3" s="3" t="n">
        <v>25</v>
      </c>
      <c r="E3" s="2" t="n">
        <v>1</v>
      </c>
      <c r="F3" s="2">
        <f>D3*E3</f>
        <v/>
      </c>
      <c r="G3" s="2">
        <f>F3*12</f>
        <v/>
      </c>
      <c r="H3" s="2" t="inlineStr">
        <is>
          <t>https://supabase.com/pricing</t>
        </is>
      </c>
      <c r="I3" s="2" t="inlineStr">
        <is>
          <t>Base $25。Compute/Storage従量あり</t>
        </is>
      </c>
    </row>
    <row r="4">
      <c r="A4" s="2" t="inlineStr">
        <is>
          <t>Azure Document Intelligence</t>
        </is>
      </c>
      <c r="B4" s="2" t="inlineStr">
        <is>
          <t>S0 Read</t>
        </is>
      </c>
      <c r="C4" s="2" t="inlineStr">
        <is>
          <t>per 1,000 pages</t>
        </is>
      </c>
      <c r="D4" s="3" t="n">
        <v>1.5</v>
      </c>
      <c r="E4" s="2" t="n">
        <v>10</v>
      </c>
      <c r="F4" s="2">
        <f>D4*E4</f>
        <v/>
      </c>
      <c r="G4" s="2">
        <f>F4*12</f>
        <v/>
      </c>
      <c r="H4" s="2" t="inlineStr">
        <is>
          <t>https://azure.microsoft.com/pricing/details/document-intelligence/</t>
        </is>
      </c>
      <c r="I4" s="2" t="inlineStr">
        <is>
          <t>月10,000ページ想定。モデルにより単価変動</t>
        </is>
      </c>
    </row>
    <row r="5">
      <c r="A5" s="2" t="inlineStr">
        <is>
          <t>Azure Cache for Redis</t>
        </is>
      </c>
      <c r="B5" s="2" t="inlineStr">
        <is>
          <t>Standard C0</t>
        </is>
      </c>
      <c r="C5" s="2" t="inlineStr">
        <is>
          <t>per month</t>
        </is>
      </c>
      <c r="D5" s="3" t="n">
        <v>40.15</v>
      </c>
      <c r="E5" s="2" t="n">
        <v>1</v>
      </c>
      <c r="F5" s="2">
        <f>D5*E5</f>
        <v/>
      </c>
      <c r="G5" s="2">
        <f>F5*12</f>
        <v/>
      </c>
      <c r="H5" s="2" t="inlineStr">
        <is>
          <t>https://azure.microsoft.com/pricing/details/cache/</t>
        </is>
      </c>
      <c r="I5" s="2" t="inlineStr">
        <is>
          <t>japaneast。リージョンで変動あり</t>
        </is>
      </c>
    </row>
    <row r="6">
      <c r="A6" s="2" t="inlineStr">
        <is>
          <t>Azure Container Apps</t>
        </is>
      </c>
      <c r="B6" s="2" t="inlineStr">
        <is>
          <t>Consumption</t>
        </is>
      </c>
      <c r="C6" s="2" t="inlineStr">
        <is>
          <t>per vCPU-sec + GiB-sec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5</t>
        </is>
      </c>
      <c r="G6" s="2">
        <f>F6*12</f>
        <v/>
      </c>
      <c r="H6" s="2" t="inlineStr">
        <is>
          <t>https://azure.microsoft.com/pricing/details/container-apps/</t>
        </is>
      </c>
      <c r="I6" s="2" t="inlineStr">
        <is>
          <t>Pricing Calculatorで確定。軽量ジョブなら$5-10/月目安</t>
        </is>
      </c>
    </row>
    <row r="7">
      <c r="A7" s="2" t="inlineStr">
        <is>
          <t>Azure Container Registry</t>
        </is>
      </c>
      <c r="B7" s="2" t="inlineStr">
        <is>
          <t>Basic</t>
        </is>
      </c>
      <c r="C7" s="2" t="inlineStr">
        <is>
          <t>per month</t>
        </is>
      </c>
      <c r="D7" s="3" t="n">
        <v>5</v>
      </c>
      <c r="E7" s="2" t="n">
        <v>1</v>
      </c>
      <c r="F7" s="2">
        <f>D7*E7</f>
        <v/>
      </c>
      <c r="G7" s="2">
        <f>F7*12</f>
        <v/>
      </c>
      <c r="H7" s="2" t="inlineStr">
        <is>
          <t>https://azure.microsoft.com/pricing/details/container-registry/</t>
        </is>
      </c>
      <c r="I7" s="2" t="inlineStr">
        <is>
          <t>Basic: ~$5/月。Standard: ~$20/月</t>
        </is>
      </c>
    </row>
    <row r="8">
      <c r="A8" s="2" t="inlineStr">
        <is>
          <t>Anthropic (Claude API)</t>
        </is>
      </c>
      <c r="B8" s="2" t="inlineStr">
        <is>
          <t>Sonnet</t>
        </is>
      </c>
      <c r="C8" s="2" t="inlineStr">
        <is>
          <t>per MTok(input/output)</t>
        </is>
      </c>
      <c r="D8" s="2" t="inlineStr">
        <is>
          <t>—</t>
        </is>
      </c>
      <c r="E8" s="2" t="inlineStr">
        <is>
          <t>—</t>
        </is>
      </c>
      <c r="F8" s="3" t="n">
        <v>15</v>
      </c>
      <c r="G8" s="2">
        <f>F8*12</f>
        <v/>
      </c>
      <c r="H8" s="2" t="inlineStr">
        <is>
          <t>https://docs.anthropic.com/en/docs/about-claude/pricing</t>
        </is>
      </c>
      <c r="I8" s="2" t="inlineStr">
        <is>
          <t>月額はジョブ数次第。$15は月500件の仕訳生成想定</t>
        </is>
      </c>
    </row>
    <row r="9">
      <c r="A9" s="2" t="inlineStr">
        <is>
          <t>GitHub</t>
        </is>
      </c>
      <c r="B9" s="2" t="inlineStr">
        <is>
          <t>Free/Team</t>
        </is>
      </c>
      <c r="C9" s="2" t="inlineStr">
        <is>
          <t>per seat/month</t>
        </is>
      </c>
      <c r="D9" s="3" t="n">
        <v>0</v>
      </c>
      <c r="E9" s="2" t="n">
        <v>1</v>
      </c>
      <c r="F9" s="2">
        <f>D9*E9</f>
        <v/>
      </c>
      <c r="G9" s="2">
        <f>F9*12</f>
        <v/>
      </c>
      <c r="H9" s="2" t="inlineStr">
        <is>
          <t>https://github.com/pricing</t>
        </is>
      </c>
      <c r="I9" s="2" t="inlineStr">
        <is>
          <t>Privateリポジトリ: Free可。Actions: Free枠2000分/月</t>
        </is>
      </c>
    </row>
    <row r="10">
      <c r="E10" s="4" t="inlineStr">
        <is>
          <t>合計(月額)</t>
        </is>
      </c>
      <c r="F10" s="5">
        <f>SUM(F2:F9)</f>
        <v/>
      </c>
      <c r="G10" s="5">
        <f>SUM(G2:G9)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項目</t>
        </is>
      </c>
      <c r="B1" s="6" t="inlineStr">
        <is>
          <t>値</t>
        </is>
      </c>
    </row>
    <row r="2">
      <c r="A2" s="2" t="inlineStr">
        <is>
          <t>調査日(JST)</t>
        </is>
      </c>
      <c r="B2" s="2" t="inlineStr">
        <is>
          <t>2026-02-17</t>
        </is>
      </c>
    </row>
    <row r="3">
      <c r="A3" s="2" t="inlineStr">
        <is>
          <t>スコープ</t>
        </is>
      </c>
      <c r="B3" s="2" t="inlineStr">
        <is>
          <t>MVP開発費用の概算。正式見積はAzure Pricing Calculatorで確定</t>
        </is>
      </c>
    </row>
    <row r="4">
      <c r="A4" s="2" t="inlineStr">
        <is>
          <t>注意</t>
        </is>
      </c>
      <c r="B4" s="2" t="inlineStr">
        <is>
          <t>Azure系はリージョン/通貨で変動。Anthropicは使用量比例</t>
        </is>
      </c>
    </row>
    <row r="5">
      <c r="A5" s="2" t="inlineStr">
        <is>
          <t>情報源</t>
        </is>
      </c>
      <c r="B5" s="2" t="inlineStr">
        <is>
          <t>各サービス公式Pricing Page (URLはCost_Modelシート参照)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2026-02-17T05:14:34Z</dcterms:created>
  <dcterms:modified xmlns:dcterms="http://purl.org/dc/terms/" xmlns:xsi="http://www.w3.org/2001/XMLSchema-instance" xsi:type="dcterms:W3CDTF">2026-02-17T05:14:34Z</dcterms:modified>
</cp:coreProperties>
</file>